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d6b73780c4ad979/Desktop/580 Project/"/>
    </mc:Choice>
  </mc:AlternateContent>
  <xr:revisionPtr revIDLastSave="489" documentId="13_ncr:1_{3DF8E1E3-CCE7-4565-A791-3AC0BA193A35}" xr6:coauthVersionLast="47" xr6:coauthVersionMax="47" xr10:uidLastSave="{E1C6557A-13E6-49F9-A0FE-8D1A9DB01AE8}"/>
  <bookViews>
    <workbookView xWindow="-120" yWindow="-120" windowWidth="29040" windowHeight="15840" firstSheet="1" activeTab="8" xr2:uid="{00000000-000D-0000-FFFF-FFFF00000000}"/>
  </bookViews>
  <sheets>
    <sheet name="Forcasting" sheetId="1" r:id="rId1"/>
    <sheet name="Sensitivity" sheetId="2" r:id="rId2"/>
    <sheet name="Sheet3" sheetId="5" state="hidden" r:id="rId3"/>
    <sheet name="Regression Observations" sheetId="11" r:id="rId4"/>
    <sheet name="Priority Table" sheetId="6" r:id="rId5"/>
    <sheet name="Regression Emissions" sheetId="12" r:id="rId6"/>
    <sheet name="Regression Prices" sheetId="13" r:id="rId7"/>
    <sheet name="Decision" sheetId="3" r:id="rId8"/>
    <sheet name="Optimized Scenarios" sheetId="14" r:id="rId9"/>
  </sheets>
  <definedNames>
    <definedName name="_xlnm._FilterDatabase" localSheetId="7" hidden="1">Decision!$B$1:$S$11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0" i="13" l="1"/>
  <c r="R29" i="13"/>
  <c r="R28" i="13"/>
  <c r="R27" i="13"/>
  <c r="R26" i="13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R2" i="13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Q2" i="12"/>
  <c r="T30" i="11"/>
  <c r="Q30" i="11"/>
  <c r="T29" i="11"/>
  <c r="Q29" i="11"/>
  <c r="T28" i="11"/>
  <c r="Q28" i="11"/>
  <c r="T27" i="11"/>
  <c r="Q27" i="11"/>
  <c r="T26" i="11"/>
  <c r="Q26" i="11"/>
  <c r="T25" i="11"/>
  <c r="Q25" i="11"/>
  <c r="T24" i="11"/>
  <c r="Q24" i="11"/>
  <c r="T23" i="11"/>
  <c r="Q23" i="11"/>
  <c r="T22" i="11"/>
  <c r="Q22" i="11"/>
  <c r="T21" i="11"/>
  <c r="Q21" i="11"/>
  <c r="T20" i="11"/>
  <c r="Q20" i="11"/>
  <c r="T19" i="11"/>
  <c r="Q19" i="11"/>
  <c r="T18" i="11"/>
  <c r="Q18" i="11"/>
  <c r="T17" i="11"/>
  <c r="Q17" i="11"/>
  <c r="T16" i="11"/>
  <c r="Q16" i="11"/>
  <c r="T15" i="11"/>
  <c r="Q15" i="11"/>
  <c r="T14" i="11"/>
  <c r="Q14" i="11"/>
  <c r="T13" i="11"/>
  <c r="Q13" i="11"/>
  <c r="T12" i="11"/>
  <c r="Q12" i="11"/>
  <c r="T11" i="11"/>
  <c r="Q11" i="11"/>
  <c r="T10" i="11"/>
  <c r="Q10" i="11"/>
  <c r="T9" i="11"/>
  <c r="Q9" i="11"/>
  <c r="T8" i="11"/>
  <c r="Q8" i="11"/>
  <c r="T7" i="11"/>
  <c r="Q7" i="11"/>
  <c r="T6" i="11"/>
  <c r="Q6" i="11"/>
  <c r="T5" i="11"/>
  <c r="Q5" i="11"/>
  <c r="T4" i="11"/>
  <c r="Q4" i="11"/>
  <c r="T3" i="11"/>
  <c r="Q3" i="11"/>
  <c r="T2" i="11"/>
  <c r="Q2" i="11"/>
  <c r="F2" i="2" l="1"/>
  <c r="F3" i="2"/>
  <c r="F4" i="2"/>
  <c r="F5" i="2"/>
  <c r="F6" i="2"/>
  <c r="F7" i="2"/>
  <c r="F9" i="2"/>
  <c r="F11" i="2"/>
  <c r="F13" i="2"/>
  <c r="F14" i="2"/>
  <c r="F15" i="2"/>
  <c r="F16" i="2"/>
  <c r="F17" i="2"/>
  <c r="F18" i="2"/>
  <c r="F19" i="2"/>
  <c r="F21" i="2"/>
  <c r="I3" i="2"/>
  <c r="I4" i="2"/>
  <c r="I5" i="2"/>
  <c r="I6" i="2"/>
  <c r="I7" i="2"/>
  <c r="I9" i="2"/>
  <c r="I11" i="2"/>
  <c r="I13" i="2"/>
  <c r="I14" i="2"/>
  <c r="I15" i="2"/>
  <c r="I16" i="2"/>
  <c r="I17" i="2"/>
  <c r="I18" i="2"/>
  <c r="I19" i="2"/>
  <c r="I21" i="2"/>
  <c r="I2" i="2"/>
  <c r="D29" i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</calcChain>
</file>

<file path=xl/sharedStrings.xml><?xml version="1.0" encoding="utf-8"?>
<sst xmlns="http://schemas.openxmlformats.org/spreadsheetml/2006/main" count="438" uniqueCount="153">
  <si>
    <t>Greenhouse Gas Net Emissions (Gigatons CO2 equivalent/year)</t>
  </si>
  <si>
    <t>Year</t>
  </si>
  <si>
    <t>Baseline</t>
  </si>
  <si>
    <t>Temperature Change (Degrees Celsius)</t>
  </si>
  <si>
    <t>Target</t>
  </si>
  <si>
    <t>Target temperature</t>
  </si>
  <si>
    <t>Average decent in temperature need to be achived per year</t>
  </si>
  <si>
    <t>Deforestation</t>
  </si>
  <si>
    <t>Land Use</t>
  </si>
  <si>
    <t>Economic Growth</t>
  </si>
  <si>
    <t>Growth</t>
  </si>
  <si>
    <t>Population</t>
  </si>
  <si>
    <t>Waste and Leakage</t>
  </si>
  <si>
    <t>Other Sources of GHG</t>
  </si>
  <si>
    <t>Agricultural Emissions</t>
  </si>
  <si>
    <t>Technological</t>
  </si>
  <si>
    <t>Carbon Dioxide Removal</t>
  </si>
  <si>
    <t>Nature-Based</t>
  </si>
  <si>
    <t>Carbon Price</t>
  </si>
  <si>
    <t>Electrification</t>
  </si>
  <si>
    <t>Buildings and Industry</t>
  </si>
  <si>
    <t>Energy Efficiency</t>
  </si>
  <si>
    <t>Transport</t>
  </si>
  <si>
    <t>Bioenergy</t>
  </si>
  <si>
    <t>Energy Supply</t>
  </si>
  <si>
    <t>New Zero-Carbon</t>
  </si>
  <si>
    <t>Nuclear</t>
  </si>
  <si>
    <t>Renewables</t>
  </si>
  <si>
    <t>Natural Gas</t>
  </si>
  <si>
    <t>Oil</t>
  </si>
  <si>
    <t>Coal</t>
  </si>
  <si>
    <t>Resulting Emissions (Gt in 2100)</t>
  </si>
  <si>
    <t>Specific Lever</t>
  </si>
  <si>
    <t>Policy Area</t>
  </si>
  <si>
    <t>Base line Emissions</t>
  </si>
  <si>
    <t>Base Line Prices</t>
  </si>
  <si>
    <t>10 $/Ton</t>
  </si>
  <si>
    <t xml:space="preserve">Energy Price Impact </t>
  </si>
  <si>
    <t>10 $/barrel</t>
  </si>
  <si>
    <t>0.1$/MCF</t>
  </si>
  <si>
    <t>-0.02 $/KWH</t>
  </si>
  <si>
    <t>-0.02$/KWH</t>
  </si>
  <si>
    <t>0.02$/KWH</t>
  </si>
  <si>
    <t>10$/boe</t>
  </si>
  <si>
    <t>10% of purchase cost</t>
  </si>
  <si>
    <t>10$/ton CO2</t>
  </si>
  <si>
    <t>10% of max potential</t>
  </si>
  <si>
    <t>10% of potential reduction</t>
  </si>
  <si>
    <t>Results</t>
  </si>
  <si>
    <t>Change made</t>
  </si>
  <si>
    <t>Energy Price Impact %</t>
  </si>
  <si>
    <t>Change in emission%</t>
  </si>
  <si>
    <t>NA</t>
  </si>
  <si>
    <t>-10% of deforestation</t>
  </si>
  <si>
    <t>Scenario</t>
  </si>
  <si>
    <t>Carbon Price ($/ton)</t>
  </si>
  <si>
    <t>Renewables Subsidy ($/kWh)</t>
  </si>
  <si>
    <t>Transport Electrification (%)</t>
  </si>
  <si>
    <t>This table is built, after considering both the regressions of prices and emissions, the once with highest resuction in emissions and less expensive are on top</t>
  </si>
  <si>
    <t>Policy Lever</t>
  </si>
  <si>
    <t>Building Electrification (%)</t>
  </si>
  <si>
    <t>Emissions Coefficient</t>
  </si>
  <si>
    <t>Coal ($/ton)</t>
  </si>
  <si>
    <t>Oil ($/barrel)</t>
  </si>
  <si>
    <t>Nuclear Policy</t>
  </si>
  <si>
    <t>Natural Gas ($/MCF)</t>
  </si>
  <si>
    <t>Bio-Energy ($/boe)</t>
  </si>
  <si>
    <t>Deforestation (%)</t>
  </si>
  <si>
    <t>Carbon/Nature Removal (%)</t>
  </si>
  <si>
    <t>Carbon/Technology (%)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</si>
  <si>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</si>
  <si>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</si>
  <si>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</si>
  <si>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</si>
  <si>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</si>
  <si>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</si>
  <si>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</si>
  <si>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</si>
  <si>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</si>
  <si>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</si>
  <si>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</si>
  <si>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</si>
  <si>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</si>
  <si>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</si>
  <si>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</si>
  <si>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</si>
  <si>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</si>
  <si>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</si>
  <si>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</si>
  <si>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</si>
  <si>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</si>
  <si>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</si>
  <si>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</si>
  <si>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Emissions P-Value</t>
  </si>
  <si>
    <t>Price Coefficient</t>
  </si>
  <si>
    <t>Price P-Value</t>
  </si>
  <si>
    <t>Price Priority Score</t>
  </si>
  <si>
    <t>Emissions Priority Score</t>
  </si>
  <si>
    <t>Avg Priority Score</t>
  </si>
  <si>
    <t>Carbon/Technology Removal (%)</t>
  </si>
  <si>
    <t>Agricultural Emissions (%)</t>
  </si>
  <si>
    <t>Waste and Leakage (%)</t>
  </si>
  <si>
    <t>Emissions Base line</t>
  </si>
  <si>
    <t>Emissions in 2100</t>
  </si>
  <si>
    <t>Emissions Change in %</t>
  </si>
  <si>
    <t>Baseline Prices</t>
  </si>
  <si>
    <t>Price in 2100</t>
  </si>
  <si>
    <t>Price Change in %</t>
  </si>
  <si>
    <t>Renewables Subsidy ($/kWh) (Coded)</t>
  </si>
  <si>
    <t>SUMMARY OUTPUT</t>
  </si>
  <si>
    <t>Emissions</t>
  </si>
  <si>
    <t>Price</t>
  </si>
  <si>
    <t>Coal Price ($/ton)</t>
  </si>
  <si>
    <t>Oil Price ($/barrel)</t>
  </si>
  <si>
    <t>Natural Gas Price ($/MCF)</t>
  </si>
  <si>
    <t>Temperature in 2100</t>
  </si>
  <si>
    <t>Prices in 2100</t>
  </si>
  <si>
    <t>Review</t>
  </si>
  <si>
    <t>Not reached the target and There is a huge spike in prices after 2025</t>
  </si>
  <si>
    <t>Scenario URL</t>
  </si>
  <si>
    <t>Reached 2</t>
  </si>
  <si>
    <t>https://en-roads.climateinteractive.org/scenario.html?v=25.4.0&amp;p1=50&amp;p16=-0.04&amp;p30=0.07&amp;p39=150&amp;p373=40&amp;p375=40&amp;p417=100&amp;p61=50&amp;p57=-10&amp;p67=75&amp;g0=78&amp;g1=62</t>
  </si>
  <si>
    <t>Price Spike Push</t>
  </si>
  <si>
    <t>Electrify Forward</t>
  </si>
  <si>
    <t>Policy Balance</t>
  </si>
  <si>
    <t>Fossil Lock-in</t>
  </si>
  <si>
    <t>Subdued Support</t>
  </si>
  <si>
    <t>Smart Combo</t>
  </si>
  <si>
    <t>Passive Nuclear</t>
  </si>
  <si>
    <t>Subsidy Tech Mix</t>
  </si>
  <si>
    <t>Aggressive Full Action</t>
  </si>
  <si>
    <t>Midway Attempt</t>
  </si>
  <si>
    <t>Scenario Name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</si>
  <si>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</si>
  <si>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</si>
  <si>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</si>
  <si>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</si>
  <si>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</si>
  <si>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</si>
  <si>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</si>
  <si>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</si>
  <si>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</si>
  <si>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</si>
  <si>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</si>
  <si>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</si>
  <si>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</si>
  <si>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Observed Emissions</t>
  </si>
  <si>
    <t>Observed Prices</t>
  </si>
  <si>
    <t>https://en-roads.climateinteractive.org/scenario.html?v=25.4.0&amp;p1=100&amp;p7=-14&amp;p10=-0.7&amp;p16=-0.03&amp;p23=25&amp;p30=0.07&amp;p39=100&amp;p375=50&amp;p60=100&amp;p417=100&amp;p61=100&amp;p57=-5&amp;p67=50&amp;g0=78&amp;g1=62</t>
  </si>
  <si>
    <t xml:space="preserve">Target </t>
  </si>
  <si>
    <t>Achived</t>
  </si>
  <si>
    <t>Not achived (2.1) degrees in 2100</t>
  </si>
  <si>
    <t>Most 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</si>
</sst>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/>
    <xf numFmtId="0" fontId="5" fillId="3" borderId="1" xfId="0" applyFont="1" applyFill="1" applyBorder="1"/>
    <xf numFmtId="0" fontId="0" fillId="0" borderId="4" xfId="0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Continuous"/>
    </xf>
    <xf numFmtId="0" fontId="1" fillId="4" borderId="1" xfId="0" applyFont="1" applyFill="1" applyBorder="1"/>
    <xf numFmtId="11" fontId="0" fillId="0" borderId="1" xfId="0" applyNumberFormat="1" applyBorder="1"/>
    <xf numFmtId="0" fontId="3" fillId="0" borderId="1" xfId="0" applyFont="1" applyBorder="1"/>
    <xf numFmtId="9" fontId="0" fillId="0" borderId="1" xfId="1" applyFont="1" applyBorder="1"/>
    <xf numFmtId="0" fontId="3" fillId="0" borderId="0" xfId="0" applyFont="1"/>
    <xf numFmtId="0" fontId="3" fillId="0" borderId="2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0" fillId="0" borderId="9" xfId="0" applyBorder="1"/>
    <xf numFmtId="0" fontId="1" fillId="4" borderId="9" xfId="0" applyFont="1" applyFill="1" applyBorder="1"/>
    <xf numFmtId="0" fontId="6" fillId="0" borderId="0" xfId="2"/>
    <xf numFmtId="0" fontId="0" fillId="5" borderId="1" xfId="0" applyFill="1" applyBorder="1"/>
    <xf numFmtId="0" fontId="1" fillId="4" borderId="8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Temperature changes</a:t>
            </a:r>
          </a:p>
        </c:rich>
      </c:tx>
      <c:layout>
        <c:manualLayout>
          <c:xMode val="edge"/>
          <c:yMode val="edge"/>
          <c:x val="0.31504855643044627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Forcasting!$P$2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Forcasting!$O$3:$O$103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Forcasting!$P$3:$P$103</c:f>
              <c:numCache>
                <c:formatCode>General</c:formatCode>
                <c:ptCount val="101"/>
                <c:pt idx="0">
                  <c:v>0.79</c:v>
                </c:pt>
                <c:pt idx="1">
                  <c:v>0.82</c:v>
                </c:pt>
                <c:pt idx="2">
                  <c:v>0.86</c:v>
                </c:pt>
                <c:pt idx="3">
                  <c:v>0.87</c:v>
                </c:pt>
                <c:pt idx="4">
                  <c:v>0.89</c:v>
                </c:pt>
                <c:pt idx="5">
                  <c:v>0.89</c:v>
                </c:pt>
                <c:pt idx="6">
                  <c:v>0.9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0.96</c:v>
                </c:pt>
                <c:pt idx="11">
                  <c:v>0.98</c:v>
                </c:pt>
                <c:pt idx="12">
                  <c:v>1.01</c:v>
                </c:pt>
                <c:pt idx="13">
                  <c:v>1.05</c:v>
                </c:pt>
                <c:pt idx="14">
                  <c:v>1.08</c:v>
                </c:pt>
                <c:pt idx="15">
                  <c:v>1.1200000000000001</c:v>
                </c:pt>
                <c:pt idx="16">
                  <c:v>1.1499999999999999</c:v>
                </c:pt>
                <c:pt idx="17">
                  <c:v>1.18</c:v>
                </c:pt>
                <c:pt idx="18">
                  <c:v>1.2</c:v>
                </c:pt>
                <c:pt idx="19">
                  <c:v>1.23</c:v>
                </c:pt>
                <c:pt idx="20">
                  <c:v>1.26</c:v>
                </c:pt>
                <c:pt idx="21">
                  <c:v>1.28</c:v>
                </c:pt>
                <c:pt idx="22">
                  <c:v>1.31</c:v>
                </c:pt>
                <c:pt idx="23">
                  <c:v>1.34</c:v>
                </c:pt>
                <c:pt idx="24">
                  <c:v>1.36</c:v>
                </c:pt>
                <c:pt idx="25">
                  <c:v>1.39</c:v>
                </c:pt>
                <c:pt idx="26">
                  <c:v>1.41</c:v>
                </c:pt>
                <c:pt idx="27">
                  <c:v>1.44</c:v>
                </c:pt>
                <c:pt idx="28">
                  <c:v>1.46</c:v>
                </c:pt>
                <c:pt idx="29">
                  <c:v>1.49</c:v>
                </c:pt>
                <c:pt idx="30">
                  <c:v>1.51</c:v>
                </c:pt>
                <c:pt idx="31">
                  <c:v>1.53</c:v>
                </c:pt>
                <c:pt idx="32">
                  <c:v>1.56</c:v>
                </c:pt>
                <c:pt idx="33">
                  <c:v>1.58</c:v>
                </c:pt>
                <c:pt idx="34">
                  <c:v>1.61</c:v>
                </c:pt>
                <c:pt idx="35">
                  <c:v>1.63</c:v>
                </c:pt>
                <c:pt idx="36">
                  <c:v>1.66</c:v>
                </c:pt>
                <c:pt idx="37">
                  <c:v>1.68</c:v>
                </c:pt>
                <c:pt idx="38">
                  <c:v>1.71</c:v>
                </c:pt>
                <c:pt idx="39">
                  <c:v>1.73</c:v>
                </c:pt>
                <c:pt idx="40">
                  <c:v>1.75</c:v>
                </c:pt>
                <c:pt idx="41">
                  <c:v>1.78</c:v>
                </c:pt>
                <c:pt idx="42">
                  <c:v>1.8</c:v>
                </c:pt>
                <c:pt idx="43">
                  <c:v>1.83</c:v>
                </c:pt>
                <c:pt idx="44">
                  <c:v>1.85</c:v>
                </c:pt>
                <c:pt idx="45">
                  <c:v>1.88</c:v>
                </c:pt>
                <c:pt idx="46">
                  <c:v>1.9</c:v>
                </c:pt>
                <c:pt idx="47">
                  <c:v>1.93</c:v>
                </c:pt>
                <c:pt idx="48">
                  <c:v>1.95</c:v>
                </c:pt>
                <c:pt idx="49">
                  <c:v>1.98</c:v>
                </c:pt>
                <c:pt idx="50">
                  <c:v>2</c:v>
                </c:pt>
                <c:pt idx="51">
                  <c:v>2.0299999999999998</c:v>
                </c:pt>
                <c:pt idx="52">
                  <c:v>2.0499999999999998</c:v>
                </c:pt>
                <c:pt idx="53">
                  <c:v>2.08</c:v>
                </c:pt>
                <c:pt idx="54">
                  <c:v>2.1</c:v>
                </c:pt>
                <c:pt idx="55">
                  <c:v>2.13</c:v>
                </c:pt>
                <c:pt idx="56">
                  <c:v>2.15</c:v>
                </c:pt>
                <c:pt idx="57">
                  <c:v>2.1800000000000002</c:v>
                </c:pt>
                <c:pt idx="58">
                  <c:v>2.2000000000000002</c:v>
                </c:pt>
                <c:pt idx="59">
                  <c:v>2.23</c:v>
                </c:pt>
                <c:pt idx="60">
                  <c:v>2.2599999999999998</c:v>
                </c:pt>
                <c:pt idx="61">
                  <c:v>2.2799999999999998</c:v>
                </c:pt>
                <c:pt idx="62">
                  <c:v>2.31</c:v>
                </c:pt>
                <c:pt idx="63">
                  <c:v>2.33</c:v>
                </c:pt>
                <c:pt idx="64">
                  <c:v>2.36</c:v>
                </c:pt>
                <c:pt idx="65">
                  <c:v>2.39</c:v>
                </c:pt>
                <c:pt idx="66">
                  <c:v>2.41</c:v>
                </c:pt>
                <c:pt idx="67">
                  <c:v>2.44</c:v>
                </c:pt>
                <c:pt idx="68">
                  <c:v>2.4700000000000002</c:v>
                </c:pt>
                <c:pt idx="69">
                  <c:v>2.5</c:v>
                </c:pt>
                <c:pt idx="70">
                  <c:v>2.52</c:v>
                </c:pt>
                <c:pt idx="71">
                  <c:v>2.5499999999999998</c:v>
                </c:pt>
                <c:pt idx="72">
                  <c:v>2.58</c:v>
                </c:pt>
                <c:pt idx="73">
                  <c:v>2.6</c:v>
                </c:pt>
                <c:pt idx="74">
                  <c:v>2.63</c:v>
                </c:pt>
                <c:pt idx="75">
                  <c:v>2.66</c:v>
                </c:pt>
                <c:pt idx="76">
                  <c:v>2.68</c:v>
                </c:pt>
                <c:pt idx="77">
                  <c:v>2.71</c:v>
                </c:pt>
                <c:pt idx="78">
                  <c:v>2.74</c:v>
                </c:pt>
                <c:pt idx="79">
                  <c:v>2.77</c:v>
                </c:pt>
                <c:pt idx="80">
                  <c:v>2.79</c:v>
                </c:pt>
                <c:pt idx="81">
                  <c:v>2.82</c:v>
                </c:pt>
                <c:pt idx="82">
                  <c:v>2.85</c:v>
                </c:pt>
                <c:pt idx="83">
                  <c:v>2.88</c:v>
                </c:pt>
                <c:pt idx="84">
                  <c:v>2.9</c:v>
                </c:pt>
                <c:pt idx="85">
                  <c:v>2.93</c:v>
                </c:pt>
                <c:pt idx="86">
                  <c:v>2.96</c:v>
                </c:pt>
                <c:pt idx="87">
                  <c:v>2.99</c:v>
                </c:pt>
                <c:pt idx="88">
                  <c:v>3.01</c:v>
                </c:pt>
                <c:pt idx="89">
                  <c:v>3.04</c:v>
                </c:pt>
                <c:pt idx="90">
                  <c:v>3.07</c:v>
                </c:pt>
                <c:pt idx="91">
                  <c:v>3.09</c:v>
                </c:pt>
                <c:pt idx="92">
                  <c:v>3.12</c:v>
                </c:pt>
                <c:pt idx="93">
                  <c:v>3.15</c:v>
                </c:pt>
                <c:pt idx="94">
                  <c:v>3.17</c:v>
                </c:pt>
                <c:pt idx="95">
                  <c:v>3.2</c:v>
                </c:pt>
                <c:pt idx="96">
                  <c:v>3.22</c:v>
                </c:pt>
                <c:pt idx="97">
                  <c:v>3.25</c:v>
                </c:pt>
                <c:pt idx="98">
                  <c:v>3.27</c:v>
                </c:pt>
                <c:pt idx="99">
                  <c:v>3.3</c:v>
                </c:pt>
                <c:pt idx="100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0A-49CB-840A-B992B2B6C27D}"/>
            </c:ext>
          </c:extLst>
        </c:ser>
        <c:ser>
          <c:idx val="1"/>
          <c:order val="1"/>
          <c:tx>
            <c:strRef>
              <c:f>Forcasting!$Q$2</c:f>
              <c:strCache>
                <c:ptCount val="1"/>
                <c:pt idx="0">
                  <c:v>Target temperature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Forcasting!$O$3:$O$103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Forcasting!$Q$3:$Q$103</c:f>
              <c:numCache>
                <c:formatCode>General</c:formatCode>
                <c:ptCount val="101"/>
                <c:pt idx="0">
                  <c:v>0.79</c:v>
                </c:pt>
                <c:pt idx="1">
                  <c:v>0.82</c:v>
                </c:pt>
                <c:pt idx="2">
                  <c:v>0.86</c:v>
                </c:pt>
                <c:pt idx="3">
                  <c:v>0.87</c:v>
                </c:pt>
                <c:pt idx="4">
                  <c:v>0.89</c:v>
                </c:pt>
                <c:pt idx="5">
                  <c:v>0.89</c:v>
                </c:pt>
                <c:pt idx="6">
                  <c:v>0.9</c:v>
                </c:pt>
                <c:pt idx="7">
                  <c:v>0.9</c:v>
                </c:pt>
                <c:pt idx="8">
                  <c:v>0.91</c:v>
                </c:pt>
                <c:pt idx="9">
                  <c:v>0.93</c:v>
                </c:pt>
                <c:pt idx="10">
                  <c:v>0.96</c:v>
                </c:pt>
                <c:pt idx="11">
                  <c:v>0.98</c:v>
                </c:pt>
                <c:pt idx="12">
                  <c:v>1.01</c:v>
                </c:pt>
                <c:pt idx="13">
                  <c:v>1.05</c:v>
                </c:pt>
                <c:pt idx="14">
                  <c:v>1.08</c:v>
                </c:pt>
                <c:pt idx="15">
                  <c:v>1.1200000000000001</c:v>
                </c:pt>
                <c:pt idx="16">
                  <c:v>1.1499999999999999</c:v>
                </c:pt>
                <c:pt idx="17">
                  <c:v>1.18</c:v>
                </c:pt>
                <c:pt idx="18">
                  <c:v>1.2</c:v>
                </c:pt>
                <c:pt idx="19">
                  <c:v>1.23</c:v>
                </c:pt>
                <c:pt idx="20">
                  <c:v>1.26</c:v>
                </c:pt>
                <c:pt idx="21">
                  <c:v>1.28</c:v>
                </c:pt>
                <c:pt idx="22">
                  <c:v>1.31</c:v>
                </c:pt>
                <c:pt idx="23">
                  <c:v>1.34</c:v>
                </c:pt>
                <c:pt idx="24">
                  <c:v>1.36</c:v>
                </c:pt>
                <c:pt idx="25">
                  <c:v>1.39</c:v>
                </c:pt>
                <c:pt idx="26">
                  <c:v>1.41</c:v>
                </c:pt>
                <c:pt idx="27">
                  <c:v>1.44</c:v>
                </c:pt>
                <c:pt idx="28">
                  <c:v>1.46</c:v>
                </c:pt>
                <c:pt idx="29">
                  <c:v>1.48</c:v>
                </c:pt>
                <c:pt idx="30">
                  <c:v>1.51</c:v>
                </c:pt>
                <c:pt idx="31">
                  <c:v>1.53</c:v>
                </c:pt>
                <c:pt idx="32">
                  <c:v>1.55</c:v>
                </c:pt>
                <c:pt idx="33">
                  <c:v>1.57</c:v>
                </c:pt>
                <c:pt idx="34">
                  <c:v>1.59</c:v>
                </c:pt>
                <c:pt idx="35">
                  <c:v>1.61</c:v>
                </c:pt>
                <c:pt idx="36">
                  <c:v>1.62</c:v>
                </c:pt>
                <c:pt idx="37">
                  <c:v>1.64</c:v>
                </c:pt>
                <c:pt idx="38">
                  <c:v>1.65</c:v>
                </c:pt>
                <c:pt idx="39">
                  <c:v>1.67</c:v>
                </c:pt>
                <c:pt idx="40">
                  <c:v>1.68</c:v>
                </c:pt>
                <c:pt idx="41">
                  <c:v>1.69</c:v>
                </c:pt>
                <c:pt idx="42">
                  <c:v>1.71</c:v>
                </c:pt>
                <c:pt idx="43">
                  <c:v>1.72</c:v>
                </c:pt>
                <c:pt idx="44">
                  <c:v>1.73</c:v>
                </c:pt>
                <c:pt idx="45">
                  <c:v>1.74</c:v>
                </c:pt>
                <c:pt idx="46">
                  <c:v>1.75</c:v>
                </c:pt>
                <c:pt idx="47">
                  <c:v>1.76</c:v>
                </c:pt>
                <c:pt idx="48">
                  <c:v>1.77</c:v>
                </c:pt>
                <c:pt idx="49">
                  <c:v>1.78</c:v>
                </c:pt>
                <c:pt idx="50">
                  <c:v>1.78</c:v>
                </c:pt>
                <c:pt idx="51">
                  <c:v>1.79</c:v>
                </c:pt>
                <c:pt idx="52">
                  <c:v>1.8</c:v>
                </c:pt>
                <c:pt idx="53">
                  <c:v>1.81</c:v>
                </c:pt>
                <c:pt idx="54">
                  <c:v>1.81</c:v>
                </c:pt>
                <c:pt idx="55">
                  <c:v>1.82</c:v>
                </c:pt>
                <c:pt idx="56">
                  <c:v>1.82</c:v>
                </c:pt>
                <c:pt idx="57">
                  <c:v>1.83</c:v>
                </c:pt>
                <c:pt idx="58">
                  <c:v>1.83</c:v>
                </c:pt>
                <c:pt idx="59">
                  <c:v>1.84</c:v>
                </c:pt>
                <c:pt idx="60">
                  <c:v>1.84</c:v>
                </c:pt>
                <c:pt idx="61">
                  <c:v>1.85</c:v>
                </c:pt>
                <c:pt idx="62">
                  <c:v>1.85</c:v>
                </c:pt>
                <c:pt idx="63">
                  <c:v>1.86</c:v>
                </c:pt>
                <c:pt idx="64">
                  <c:v>1.86</c:v>
                </c:pt>
                <c:pt idx="65">
                  <c:v>1.87</c:v>
                </c:pt>
                <c:pt idx="66">
                  <c:v>1.87</c:v>
                </c:pt>
                <c:pt idx="67">
                  <c:v>1.88</c:v>
                </c:pt>
                <c:pt idx="68">
                  <c:v>1.88</c:v>
                </c:pt>
                <c:pt idx="69">
                  <c:v>1.89</c:v>
                </c:pt>
                <c:pt idx="70">
                  <c:v>1.89</c:v>
                </c:pt>
                <c:pt idx="71">
                  <c:v>1.9</c:v>
                </c:pt>
                <c:pt idx="72">
                  <c:v>1.9</c:v>
                </c:pt>
                <c:pt idx="73">
                  <c:v>1.91</c:v>
                </c:pt>
                <c:pt idx="74">
                  <c:v>1.91</c:v>
                </c:pt>
                <c:pt idx="75">
                  <c:v>1.91</c:v>
                </c:pt>
                <c:pt idx="76">
                  <c:v>1.92</c:v>
                </c:pt>
                <c:pt idx="77">
                  <c:v>1.92</c:v>
                </c:pt>
                <c:pt idx="78">
                  <c:v>1.93</c:v>
                </c:pt>
                <c:pt idx="79">
                  <c:v>1.94</c:v>
                </c:pt>
                <c:pt idx="80">
                  <c:v>1.94</c:v>
                </c:pt>
                <c:pt idx="81">
                  <c:v>1.95</c:v>
                </c:pt>
                <c:pt idx="82">
                  <c:v>1.95</c:v>
                </c:pt>
                <c:pt idx="83">
                  <c:v>1.96</c:v>
                </c:pt>
                <c:pt idx="84">
                  <c:v>1.96</c:v>
                </c:pt>
                <c:pt idx="85">
                  <c:v>1.97</c:v>
                </c:pt>
                <c:pt idx="86">
                  <c:v>1.97</c:v>
                </c:pt>
                <c:pt idx="87">
                  <c:v>1.98</c:v>
                </c:pt>
                <c:pt idx="88">
                  <c:v>1.99</c:v>
                </c:pt>
                <c:pt idx="89">
                  <c:v>1.99</c:v>
                </c:pt>
                <c:pt idx="90">
                  <c:v>2</c:v>
                </c:pt>
                <c:pt idx="91">
                  <c:v>2</c:v>
                </c:pt>
                <c:pt idx="92">
                  <c:v>2.0099999999999998</c:v>
                </c:pt>
                <c:pt idx="93">
                  <c:v>2.02</c:v>
                </c:pt>
                <c:pt idx="94">
                  <c:v>2.02</c:v>
                </c:pt>
                <c:pt idx="95">
                  <c:v>2.0299999999999998</c:v>
                </c:pt>
                <c:pt idx="96">
                  <c:v>2.0299999999999998</c:v>
                </c:pt>
                <c:pt idx="97">
                  <c:v>2.04</c:v>
                </c:pt>
                <c:pt idx="98">
                  <c:v>2.04</c:v>
                </c:pt>
                <c:pt idx="99">
                  <c:v>2.0499999999999998</c:v>
                </c:pt>
                <c:pt idx="100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A-49CB-840A-B992B2B6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720944"/>
        <c:axId val="571726344"/>
      </c:lineChart>
      <c:catAx>
        <c:axId val="571720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26344"/>
        <c:crosses val="autoZero"/>
        <c:auto val="1"/>
        <c:lblAlgn val="ctr"/>
        <c:lblOffset val="100"/>
        <c:noMultiLvlLbl val="0"/>
      </c:catAx>
      <c:valAx>
        <c:axId val="57172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2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Forcasting!$B$2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Forcasting!$A$3:$A$103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Forcasting!$B$3:$B$103</c:f>
              <c:numCache>
                <c:formatCode>General</c:formatCode>
                <c:ptCount val="101"/>
                <c:pt idx="0">
                  <c:v>41.01</c:v>
                </c:pt>
                <c:pt idx="1">
                  <c:v>41.81</c:v>
                </c:pt>
                <c:pt idx="2">
                  <c:v>42.62</c:v>
                </c:pt>
                <c:pt idx="3">
                  <c:v>43.42</c:v>
                </c:pt>
                <c:pt idx="4">
                  <c:v>44.35</c:v>
                </c:pt>
                <c:pt idx="5">
                  <c:v>45.43</c:v>
                </c:pt>
                <c:pt idx="6">
                  <c:v>46.53</c:v>
                </c:pt>
                <c:pt idx="7">
                  <c:v>47.73</c:v>
                </c:pt>
                <c:pt idx="8">
                  <c:v>48.94</c:v>
                </c:pt>
                <c:pt idx="9">
                  <c:v>49.94</c:v>
                </c:pt>
                <c:pt idx="10">
                  <c:v>50.76</c:v>
                </c:pt>
                <c:pt idx="11">
                  <c:v>51.79</c:v>
                </c:pt>
                <c:pt idx="12">
                  <c:v>52.82</c:v>
                </c:pt>
                <c:pt idx="13">
                  <c:v>53.78</c:v>
                </c:pt>
                <c:pt idx="14">
                  <c:v>54.69</c:v>
                </c:pt>
                <c:pt idx="15">
                  <c:v>55.43</c:v>
                </c:pt>
                <c:pt idx="16">
                  <c:v>56.14</c:v>
                </c:pt>
                <c:pt idx="17">
                  <c:v>56.78</c:v>
                </c:pt>
                <c:pt idx="18">
                  <c:v>57.42</c:v>
                </c:pt>
                <c:pt idx="19">
                  <c:v>57.92</c:v>
                </c:pt>
                <c:pt idx="20">
                  <c:v>58.07</c:v>
                </c:pt>
                <c:pt idx="21">
                  <c:v>57.84</c:v>
                </c:pt>
                <c:pt idx="22">
                  <c:v>57.97</c:v>
                </c:pt>
                <c:pt idx="23">
                  <c:v>58.19</c:v>
                </c:pt>
                <c:pt idx="24">
                  <c:v>58.38</c:v>
                </c:pt>
                <c:pt idx="25">
                  <c:v>58.53</c:v>
                </c:pt>
                <c:pt idx="26">
                  <c:v>58.66</c:v>
                </c:pt>
                <c:pt idx="27">
                  <c:v>58.79</c:v>
                </c:pt>
                <c:pt idx="28">
                  <c:v>58.93</c:v>
                </c:pt>
                <c:pt idx="29">
                  <c:v>59.08</c:v>
                </c:pt>
                <c:pt idx="30">
                  <c:v>59.23</c:v>
                </c:pt>
                <c:pt idx="31">
                  <c:v>59.4</c:v>
                </c:pt>
                <c:pt idx="32">
                  <c:v>59.57</c:v>
                </c:pt>
                <c:pt idx="33">
                  <c:v>59.75</c:v>
                </c:pt>
                <c:pt idx="34">
                  <c:v>59.94</c:v>
                </c:pt>
                <c:pt idx="35">
                  <c:v>60.13</c:v>
                </c:pt>
                <c:pt idx="36">
                  <c:v>60.35</c:v>
                </c:pt>
                <c:pt idx="37">
                  <c:v>60.59</c:v>
                </c:pt>
                <c:pt idx="38">
                  <c:v>60.84</c:v>
                </c:pt>
                <c:pt idx="39">
                  <c:v>61.1</c:v>
                </c:pt>
                <c:pt idx="40">
                  <c:v>61.39</c:v>
                </c:pt>
                <c:pt idx="41">
                  <c:v>61.68</c:v>
                </c:pt>
                <c:pt idx="42">
                  <c:v>61.99</c:v>
                </c:pt>
                <c:pt idx="43">
                  <c:v>62.32</c:v>
                </c:pt>
                <c:pt idx="44">
                  <c:v>62.65</c:v>
                </c:pt>
                <c:pt idx="45">
                  <c:v>62.99</c:v>
                </c:pt>
                <c:pt idx="46">
                  <c:v>63.34</c:v>
                </c:pt>
                <c:pt idx="47">
                  <c:v>63.7</c:v>
                </c:pt>
                <c:pt idx="48">
                  <c:v>64.069999999999993</c:v>
                </c:pt>
                <c:pt idx="49">
                  <c:v>64.44</c:v>
                </c:pt>
                <c:pt idx="50">
                  <c:v>64.819999999999993</c:v>
                </c:pt>
                <c:pt idx="51">
                  <c:v>65.19</c:v>
                </c:pt>
                <c:pt idx="52">
                  <c:v>65.569999999999993</c:v>
                </c:pt>
                <c:pt idx="53">
                  <c:v>65.95</c:v>
                </c:pt>
                <c:pt idx="54">
                  <c:v>66.319999999999993</c:v>
                </c:pt>
                <c:pt idx="55">
                  <c:v>66.680000000000007</c:v>
                </c:pt>
                <c:pt idx="56">
                  <c:v>67.040000000000006</c:v>
                </c:pt>
                <c:pt idx="57">
                  <c:v>67.39</c:v>
                </c:pt>
                <c:pt idx="58">
                  <c:v>67.73</c:v>
                </c:pt>
                <c:pt idx="59">
                  <c:v>68.06</c:v>
                </c:pt>
                <c:pt idx="60">
                  <c:v>68.38</c:v>
                </c:pt>
                <c:pt idx="61">
                  <c:v>68.680000000000007</c:v>
                </c:pt>
                <c:pt idx="62">
                  <c:v>68.97</c:v>
                </c:pt>
                <c:pt idx="63">
                  <c:v>69.25</c:v>
                </c:pt>
                <c:pt idx="64">
                  <c:v>69.510000000000005</c:v>
                </c:pt>
                <c:pt idx="65">
                  <c:v>69.760000000000005</c:v>
                </c:pt>
                <c:pt idx="66">
                  <c:v>69.989999999999995</c:v>
                </c:pt>
                <c:pt idx="67">
                  <c:v>70.2</c:v>
                </c:pt>
                <c:pt idx="68">
                  <c:v>70.400000000000006</c:v>
                </c:pt>
                <c:pt idx="69">
                  <c:v>70.58</c:v>
                </c:pt>
                <c:pt idx="70">
                  <c:v>70.75</c:v>
                </c:pt>
                <c:pt idx="71">
                  <c:v>70.91</c:v>
                </c:pt>
                <c:pt idx="72">
                  <c:v>71.05</c:v>
                </c:pt>
                <c:pt idx="73">
                  <c:v>71.180000000000007</c:v>
                </c:pt>
                <c:pt idx="74">
                  <c:v>71.290000000000006</c:v>
                </c:pt>
                <c:pt idx="75">
                  <c:v>71.38</c:v>
                </c:pt>
                <c:pt idx="76">
                  <c:v>71.459999999999994</c:v>
                </c:pt>
                <c:pt idx="77">
                  <c:v>71.52</c:v>
                </c:pt>
                <c:pt idx="78">
                  <c:v>71.56</c:v>
                </c:pt>
                <c:pt idx="79">
                  <c:v>71.59</c:v>
                </c:pt>
                <c:pt idx="80">
                  <c:v>71.61</c:v>
                </c:pt>
                <c:pt idx="81">
                  <c:v>71.61</c:v>
                </c:pt>
                <c:pt idx="82">
                  <c:v>71.599999999999994</c:v>
                </c:pt>
                <c:pt idx="83">
                  <c:v>71.58</c:v>
                </c:pt>
                <c:pt idx="84">
                  <c:v>71.55</c:v>
                </c:pt>
                <c:pt idx="85">
                  <c:v>71.510000000000005</c:v>
                </c:pt>
                <c:pt idx="86">
                  <c:v>71.47</c:v>
                </c:pt>
                <c:pt idx="87">
                  <c:v>71.42</c:v>
                </c:pt>
                <c:pt idx="88">
                  <c:v>71.36</c:v>
                </c:pt>
                <c:pt idx="89">
                  <c:v>71.31</c:v>
                </c:pt>
                <c:pt idx="90">
                  <c:v>71.239999999999995</c:v>
                </c:pt>
                <c:pt idx="91">
                  <c:v>71.17</c:v>
                </c:pt>
                <c:pt idx="92">
                  <c:v>71.099999999999994</c:v>
                </c:pt>
                <c:pt idx="93">
                  <c:v>71.03</c:v>
                </c:pt>
                <c:pt idx="94">
                  <c:v>70.959999999999994</c:v>
                </c:pt>
                <c:pt idx="95">
                  <c:v>70.88</c:v>
                </c:pt>
                <c:pt idx="96">
                  <c:v>70.81</c:v>
                </c:pt>
                <c:pt idx="97">
                  <c:v>70.739999999999995</c:v>
                </c:pt>
                <c:pt idx="98">
                  <c:v>70.680000000000007</c:v>
                </c:pt>
                <c:pt idx="99">
                  <c:v>70.62</c:v>
                </c:pt>
                <c:pt idx="100">
                  <c:v>70.569999999999993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0-4E4D-B76C-A982ED7C0AE4}"/>
            </c:ext>
          </c:extLst>
        </c:ser>
        <c:ser>
          <c:idx val="1"/>
          <c:order val="1"/>
          <c:tx>
            <c:strRef>
              <c:f>Forcasting!$C$2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Forcasting!$A$3:$A$103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Forcasting!$C$3:$C$103</c:f>
              <c:numCache>
                <c:formatCode>General</c:formatCode>
                <c:ptCount val="101"/>
                <c:pt idx="0">
                  <c:v>41.01</c:v>
                </c:pt>
                <c:pt idx="1">
                  <c:v>41.81</c:v>
                </c:pt>
                <c:pt idx="2">
                  <c:v>42.62</c:v>
                </c:pt>
                <c:pt idx="3">
                  <c:v>43.42</c:v>
                </c:pt>
                <c:pt idx="4">
                  <c:v>44.35</c:v>
                </c:pt>
                <c:pt idx="5">
                  <c:v>45.43</c:v>
                </c:pt>
                <c:pt idx="6">
                  <c:v>46.53</c:v>
                </c:pt>
                <c:pt idx="7">
                  <c:v>47.73</c:v>
                </c:pt>
                <c:pt idx="8">
                  <c:v>48.94</c:v>
                </c:pt>
                <c:pt idx="9">
                  <c:v>49.94</c:v>
                </c:pt>
                <c:pt idx="10">
                  <c:v>50.76</c:v>
                </c:pt>
                <c:pt idx="11">
                  <c:v>51.79</c:v>
                </c:pt>
                <c:pt idx="12">
                  <c:v>52.82</c:v>
                </c:pt>
                <c:pt idx="13">
                  <c:v>53.78</c:v>
                </c:pt>
                <c:pt idx="14">
                  <c:v>54.69</c:v>
                </c:pt>
                <c:pt idx="15">
                  <c:v>55.43</c:v>
                </c:pt>
                <c:pt idx="16">
                  <c:v>56.14</c:v>
                </c:pt>
                <c:pt idx="17">
                  <c:v>56.78</c:v>
                </c:pt>
                <c:pt idx="18">
                  <c:v>57.42</c:v>
                </c:pt>
                <c:pt idx="19">
                  <c:v>57.92</c:v>
                </c:pt>
                <c:pt idx="20">
                  <c:v>58.07</c:v>
                </c:pt>
                <c:pt idx="21">
                  <c:v>57.84</c:v>
                </c:pt>
                <c:pt idx="22">
                  <c:v>57.97</c:v>
                </c:pt>
                <c:pt idx="23">
                  <c:v>58.19</c:v>
                </c:pt>
                <c:pt idx="24">
                  <c:v>58.38</c:v>
                </c:pt>
                <c:pt idx="25">
                  <c:v>58.53</c:v>
                </c:pt>
                <c:pt idx="26">
                  <c:v>56.65</c:v>
                </c:pt>
                <c:pt idx="27">
                  <c:v>55.24</c:v>
                </c:pt>
                <c:pt idx="28">
                  <c:v>53.88</c:v>
                </c:pt>
                <c:pt idx="29">
                  <c:v>52.45</c:v>
                </c:pt>
                <c:pt idx="30">
                  <c:v>50.91</c:v>
                </c:pt>
                <c:pt idx="31">
                  <c:v>49.27</c:v>
                </c:pt>
                <c:pt idx="32">
                  <c:v>47.55</c:v>
                </c:pt>
                <c:pt idx="33">
                  <c:v>45.76</c:v>
                </c:pt>
                <c:pt idx="34">
                  <c:v>43.92</c:v>
                </c:pt>
                <c:pt idx="35">
                  <c:v>42.05</c:v>
                </c:pt>
                <c:pt idx="36">
                  <c:v>40.909999999999997</c:v>
                </c:pt>
                <c:pt idx="37">
                  <c:v>39.89</c:v>
                </c:pt>
                <c:pt idx="38">
                  <c:v>38.869999999999997</c:v>
                </c:pt>
                <c:pt idx="39">
                  <c:v>37.880000000000003</c:v>
                </c:pt>
                <c:pt idx="40">
                  <c:v>36.89</c:v>
                </c:pt>
                <c:pt idx="41">
                  <c:v>35.93</c:v>
                </c:pt>
                <c:pt idx="42">
                  <c:v>35.020000000000003</c:v>
                </c:pt>
                <c:pt idx="43">
                  <c:v>34.15</c:v>
                </c:pt>
                <c:pt idx="44">
                  <c:v>33.32</c:v>
                </c:pt>
                <c:pt idx="45">
                  <c:v>32.53</c:v>
                </c:pt>
                <c:pt idx="46">
                  <c:v>31.75</c:v>
                </c:pt>
                <c:pt idx="47">
                  <c:v>30.99</c:v>
                </c:pt>
                <c:pt idx="48">
                  <c:v>30.29</c:v>
                </c:pt>
                <c:pt idx="49">
                  <c:v>29.64</c:v>
                </c:pt>
                <c:pt idx="50">
                  <c:v>29.04</c:v>
                </c:pt>
                <c:pt idx="51">
                  <c:v>28.48</c:v>
                </c:pt>
                <c:pt idx="52">
                  <c:v>27.95</c:v>
                </c:pt>
                <c:pt idx="53">
                  <c:v>27.45</c:v>
                </c:pt>
                <c:pt idx="54">
                  <c:v>26.98</c:v>
                </c:pt>
                <c:pt idx="55">
                  <c:v>26.52</c:v>
                </c:pt>
                <c:pt idx="56">
                  <c:v>26.09</c:v>
                </c:pt>
                <c:pt idx="57">
                  <c:v>25.69</c:v>
                </c:pt>
                <c:pt idx="58">
                  <c:v>25.31</c:v>
                </c:pt>
                <c:pt idx="59">
                  <c:v>24.95</c:v>
                </c:pt>
                <c:pt idx="60">
                  <c:v>24.61</c:v>
                </c:pt>
                <c:pt idx="61">
                  <c:v>24.28</c:v>
                </c:pt>
                <c:pt idx="62">
                  <c:v>23.98</c:v>
                </c:pt>
                <c:pt idx="63">
                  <c:v>23.69</c:v>
                </c:pt>
                <c:pt idx="64">
                  <c:v>23.41</c:v>
                </c:pt>
                <c:pt idx="65">
                  <c:v>23.15</c:v>
                </c:pt>
                <c:pt idx="66">
                  <c:v>22.91</c:v>
                </c:pt>
                <c:pt idx="67">
                  <c:v>22.67</c:v>
                </c:pt>
                <c:pt idx="68">
                  <c:v>22.45</c:v>
                </c:pt>
                <c:pt idx="69">
                  <c:v>22.24</c:v>
                </c:pt>
                <c:pt idx="70">
                  <c:v>22.03</c:v>
                </c:pt>
                <c:pt idx="71">
                  <c:v>21.84</c:v>
                </c:pt>
                <c:pt idx="72">
                  <c:v>21.65</c:v>
                </c:pt>
                <c:pt idx="73">
                  <c:v>21.47</c:v>
                </c:pt>
                <c:pt idx="74">
                  <c:v>21.3</c:v>
                </c:pt>
                <c:pt idx="75">
                  <c:v>21.14</c:v>
                </c:pt>
                <c:pt idx="76">
                  <c:v>20.98</c:v>
                </c:pt>
                <c:pt idx="77">
                  <c:v>20.83</c:v>
                </c:pt>
                <c:pt idx="78">
                  <c:v>20.69</c:v>
                </c:pt>
                <c:pt idx="79">
                  <c:v>20.56</c:v>
                </c:pt>
                <c:pt idx="80">
                  <c:v>20.43</c:v>
                </c:pt>
                <c:pt idx="81">
                  <c:v>20.3</c:v>
                </c:pt>
                <c:pt idx="82">
                  <c:v>20.190000000000001</c:v>
                </c:pt>
                <c:pt idx="83">
                  <c:v>20.07</c:v>
                </c:pt>
                <c:pt idx="84">
                  <c:v>19.97</c:v>
                </c:pt>
                <c:pt idx="85">
                  <c:v>19.87</c:v>
                </c:pt>
                <c:pt idx="86">
                  <c:v>19.77</c:v>
                </c:pt>
                <c:pt idx="87">
                  <c:v>19.68</c:v>
                </c:pt>
                <c:pt idx="88">
                  <c:v>19.59</c:v>
                </c:pt>
                <c:pt idx="89">
                  <c:v>19.510000000000002</c:v>
                </c:pt>
                <c:pt idx="90">
                  <c:v>19.43</c:v>
                </c:pt>
                <c:pt idx="91">
                  <c:v>19.350000000000001</c:v>
                </c:pt>
                <c:pt idx="92">
                  <c:v>19.28</c:v>
                </c:pt>
                <c:pt idx="93">
                  <c:v>19.21</c:v>
                </c:pt>
                <c:pt idx="94">
                  <c:v>19.149999999999999</c:v>
                </c:pt>
                <c:pt idx="95">
                  <c:v>19.09</c:v>
                </c:pt>
                <c:pt idx="96">
                  <c:v>19.03</c:v>
                </c:pt>
                <c:pt idx="97">
                  <c:v>18.97</c:v>
                </c:pt>
                <c:pt idx="98">
                  <c:v>18.920000000000002</c:v>
                </c:pt>
                <c:pt idx="99">
                  <c:v>18.87</c:v>
                </c:pt>
                <c:pt idx="100">
                  <c:v>18.82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0-4E4D-B76C-A982ED7C0AE4}"/>
            </c:ext>
          </c:extLst>
        </c:ser>
        <c:ser>
          <c:idx val="2"/>
          <c:order val="2"/>
          <c:tx>
            <c:strRef>
              <c:f>Forcasting!$D$2</c:f>
              <c:strCache>
                <c:ptCount val="1"/>
                <c:pt idx="0">
                  <c:v>Average decent in temperature need to be achived per year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Forcasting!$A$3:$A$103</c:f>
              <c:numCache>
                <c:formatCode>General</c:formatCode>
                <c:ptCount val="10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  <c:pt idx="51">
                  <c:v>2051</c:v>
                </c:pt>
                <c:pt idx="52">
                  <c:v>2052</c:v>
                </c:pt>
                <c:pt idx="53">
                  <c:v>2053</c:v>
                </c:pt>
                <c:pt idx="54">
                  <c:v>2054</c:v>
                </c:pt>
                <c:pt idx="55">
                  <c:v>2055</c:v>
                </c:pt>
                <c:pt idx="56">
                  <c:v>2056</c:v>
                </c:pt>
                <c:pt idx="57">
                  <c:v>2057</c:v>
                </c:pt>
                <c:pt idx="58">
                  <c:v>2058</c:v>
                </c:pt>
                <c:pt idx="59">
                  <c:v>2059</c:v>
                </c:pt>
                <c:pt idx="60">
                  <c:v>2060</c:v>
                </c:pt>
                <c:pt idx="61">
                  <c:v>2061</c:v>
                </c:pt>
                <c:pt idx="62">
                  <c:v>2062</c:v>
                </c:pt>
                <c:pt idx="63">
                  <c:v>2063</c:v>
                </c:pt>
                <c:pt idx="64">
                  <c:v>2064</c:v>
                </c:pt>
                <c:pt idx="65">
                  <c:v>2065</c:v>
                </c:pt>
                <c:pt idx="66">
                  <c:v>2066</c:v>
                </c:pt>
                <c:pt idx="67">
                  <c:v>2067</c:v>
                </c:pt>
                <c:pt idx="68">
                  <c:v>2068</c:v>
                </c:pt>
                <c:pt idx="69">
                  <c:v>2069</c:v>
                </c:pt>
                <c:pt idx="70">
                  <c:v>2070</c:v>
                </c:pt>
                <c:pt idx="71">
                  <c:v>2071</c:v>
                </c:pt>
                <c:pt idx="72">
                  <c:v>2072</c:v>
                </c:pt>
                <c:pt idx="73">
                  <c:v>2073</c:v>
                </c:pt>
                <c:pt idx="74">
                  <c:v>2074</c:v>
                </c:pt>
                <c:pt idx="75">
                  <c:v>2075</c:v>
                </c:pt>
                <c:pt idx="76">
                  <c:v>2076</c:v>
                </c:pt>
                <c:pt idx="77">
                  <c:v>2077</c:v>
                </c:pt>
                <c:pt idx="78">
                  <c:v>2078</c:v>
                </c:pt>
                <c:pt idx="79">
                  <c:v>2079</c:v>
                </c:pt>
                <c:pt idx="80">
                  <c:v>2080</c:v>
                </c:pt>
                <c:pt idx="81">
                  <c:v>2081</c:v>
                </c:pt>
                <c:pt idx="82">
                  <c:v>2082</c:v>
                </c:pt>
                <c:pt idx="83">
                  <c:v>2083</c:v>
                </c:pt>
                <c:pt idx="84">
                  <c:v>2084</c:v>
                </c:pt>
                <c:pt idx="85">
                  <c:v>2085</c:v>
                </c:pt>
                <c:pt idx="86">
                  <c:v>2086</c:v>
                </c:pt>
                <c:pt idx="87">
                  <c:v>2087</c:v>
                </c:pt>
                <c:pt idx="88">
                  <c:v>2088</c:v>
                </c:pt>
                <c:pt idx="89">
                  <c:v>2089</c:v>
                </c:pt>
                <c:pt idx="90">
                  <c:v>2090</c:v>
                </c:pt>
                <c:pt idx="91">
                  <c:v>2091</c:v>
                </c:pt>
                <c:pt idx="92">
                  <c:v>2092</c:v>
                </c:pt>
                <c:pt idx="93">
                  <c:v>2093</c:v>
                </c:pt>
                <c:pt idx="94">
                  <c:v>2094</c:v>
                </c:pt>
                <c:pt idx="95">
                  <c:v>2095</c:v>
                </c:pt>
                <c:pt idx="96">
                  <c:v>2096</c:v>
                </c:pt>
                <c:pt idx="97">
                  <c:v>2097</c:v>
                </c:pt>
                <c:pt idx="98">
                  <c:v>2098</c:v>
                </c:pt>
                <c:pt idx="99">
                  <c:v>2099</c:v>
                </c:pt>
                <c:pt idx="100">
                  <c:v>2100</c:v>
                </c:pt>
              </c:numCache>
            </c:numRef>
          </c:cat>
          <c:val>
            <c:numRef>
              <c:f>Forcasting!$D$3:$D$103</c:f>
              <c:numCache>
                <c:formatCode>General</c:formatCode>
                <c:ptCount val="101"/>
                <c:pt idx="0">
                  <c:v>41.01</c:v>
                </c:pt>
                <c:pt idx="1">
                  <c:v>41.81</c:v>
                </c:pt>
                <c:pt idx="2">
                  <c:v>42.62</c:v>
                </c:pt>
                <c:pt idx="3">
                  <c:v>43.42</c:v>
                </c:pt>
                <c:pt idx="4">
                  <c:v>44.35</c:v>
                </c:pt>
                <c:pt idx="5">
                  <c:v>45.43</c:v>
                </c:pt>
                <c:pt idx="6">
                  <c:v>46.53</c:v>
                </c:pt>
                <c:pt idx="7">
                  <c:v>47.73</c:v>
                </c:pt>
                <c:pt idx="8">
                  <c:v>48.94</c:v>
                </c:pt>
                <c:pt idx="9">
                  <c:v>49.94</c:v>
                </c:pt>
                <c:pt idx="10">
                  <c:v>50.76</c:v>
                </c:pt>
                <c:pt idx="11">
                  <c:v>51.79</c:v>
                </c:pt>
                <c:pt idx="12">
                  <c:v>52.82</c:v>
                </c:pt>
                <c:pt idx="13">
                  <c:v>53.78</c:v>
                </c:pt>
                <c:pt idx="14">
                  <c:v>54.69</c:v>
                </c:pt>
                <c:pt idx="15">
                  <c:v>55.43</c:v>
                </c:pt>
                <c:pt idx="16">
                  <c:v>56.14</c:v>
                </c:pt>
                <c:pt idx="17">
                  <c:v>56.78</c:v>
                </c:pt>
                <c:pt idx="18">
                  <c:v>57.42</c:v>
                </c:pt>
                <c:pt idx="19">
                  <c:v>57.92</c:v>
                </c:pt>
                <c:pt idx="20">
                  <c:v>58.07</c:v>
                </c:pt>
                <c:pt idx="21">
                  <c:v>57.84</c:v>
                </c:pt>
                <c:pt idx="22">
                  <c:v>57.97</c:v>
                </c:pt>
                <c:pt idx="23">
                  <c:v>58.19</c:v>
                </c:pt>
                <c:pt idx="24">
                  <c:v>58.38</c:v>
                </c:pt>
                <c:pt idx="25">
                  <c:v>58.53</c:v>
                </c:pt>
                <c:pt idx="26">
                  <c:v>58.139999999999993</c:v>
                </c:pt>
                <c:pt idx="27">
                  <c:v>57.61999999999999</c:v>
                </c:pt>
                <c:pt idx="28">
                  <c:v>57.099999999999987</c:v>
                </c:pt>
                <c:pt idx="29">
                  <c:v>56.579999999999984</c:v>
                </c:pt>
                <c:pt idx="30">
                  <c:v>56.059999999999981</c:v>
                </c:pt>
                <c:pt idx="31">
                  <c:v>55.539999999999978</c:v>
                </c:pt>
                <c:pt idx="32">
                  <c:v>55.019999999999975</c:v>
                </c:pt>
                <c:pt idx="33">
                  <c:v>54.499999999999972</c:v>
                </c:pt>
                <c:pt idx="34">
                  <c:v>53.979999999999968</c:v>
                </c:pt>
                <c:pt idx="35">
                  <c:v>53.459999999999965</c:v>
                </c:pt>
                <c:pt idx="36">
                  <c:v>52.939999999999962</c:v>
                </c:pt>
                <c:pt idx="37">
                  <c:v>52.419999999999959</c:v>
                </c:pt>
                <c:pt idx="38">
                  <c:v>51.899999999999956</c:v>
                </c:pt>
                <c:pt idx="39">
                  <c:v>51.379999999999953</c:v>
                </c:pt>
                <c:pt idx="40">
                  <c:v>50.85999999999995</c:v>
                </c:pt>
                <c:pt idx="41">
                  <c:v>50.339999999999947</c:v>
                </c:pt>
                <c:pt idx="42">
                  <c:v>49.819999999999943</c:v>
                </c:pt>
                <c:pt idx="43">
                  <c:v>49.29999999999994</c:v>
                </c:pt>
                <c:pt idx="44">
                  <c:v>48.779999999999937</c:v>
                </c:pt>
                <c:pt idx="45">
                  <c:v>48.259999999999934</c:v>
                </c:pt>
                <c:pt idx="46">
                  <c:v>47.739999999999931</c:v>
                </c:pt>
                <c:pt idx="47">
                  <c:v>47.219999999999928</c:v>
                </c:pt>
                <c:pt idx="48">
                  <c:v>46.699999999999925</c:v>
                </c:pt>
                <c:pt idx="49">
                  <c:v>46.179999999999922</c:v>
                </c:pt>
                <c:pt idx="50">
                  <c:v>45.659999999999918</c:v>
                </c:pt>
                <c:pt idx="51">
                  <c:v>45.139999999999915</c:v>
                </c:pt>
                <c:pt idx="52">
                  <c:v>44.619999999999912</c:v>
                </c:pt>
                <c:pt idx="53">
                  <c:v>44.099999999999909</c:v>
                </c:pt>
                <c:pt idx="54">
                  <c:v>43.579999999999906</c:v>
                </c:pt>
                <c:pt idx="55">
                  <c:v>43.059999999999903</c:v>
                </c:pt>
                <c:pt idx="56">
                  <c:v>42.5399999999999</c:v>
                </c:pt>
                <c:pt idx="57">
                  <c:v>42.019999999999897</c:v>
                </c:pt>
                <c:pt idx="58">
                  <c:v>41.499999999999893</c:v>
                </c:pt>
                <c:pt idx="59">
                  <c:v>40.97999999999989</c:v>
                </c:pt>
                <c:pt idx="60">
                  <c:v>40.459999999999887</c:v>
                </c:pt>
                <c:pt idx="61">
                  <c:v>39.939999999999884</c:v>
                </c:pt>
                <c:pt idx="62">
                  <c:v>39.419999999999881</c:v>
                </c:pt>
                <c:pt idx="63">
                  <c:v>38.899999999999878</c:v>
                </c:pt>
                <c:pt idx="64">
                  <c:v>38.379999999999875</c:v>
                </c:pt>
                <c:pt idx="65">
                  <c:v>37.859999999999872</c:v>
                </c:pt>
                <c:pt idx="66">
                  <c:v>37.339999999999868</c:v>
                </c:pt>
                <c:pt idx="67">
                  <c:v>36.819999999999865</c:v>
                </c:pt>
                <c:pt idx="68">
                  <c:v>36.299999999999862</c:v>
                </c:pt>
                <c:pt idx="69">
                  <c:v>35.779999999999859</c:v>
                </c:pt>
                <c:pt idx="70">
                  <c:v>35.259999999999856</c:v>
                </c:pt>
                <c:pt idx="71">
                  <c:v>34.739999999999853</c:v>
                </c:pt>
                <c:pt idx="72">
                  <c:v>34.21999999999985</c:v>
                </c:pt>
                <c:pt idx="73">
                  <c:v>33.699999999999847</c:v>
                </c:pt>
                <c:pt idx="74">
                  <c:v>33.179999999999843</c:v>
                </c:pt>
                <c:pt idx="75">
                  <c:v>32.65999999999984</c:v>
                </c:pt>
                <c:pt idx="76">
                  <c:v>32.139999999999837</c:v>
                </c:pt>
                <c:pt idx="77">
                  <c:v>31.619999999999838</c:v>
                </c:pt>
                <c:pt idx="78">
                  <c:v>31.099999999999838</c:v>
                </c:pt>
                <c:pt idx="79">
                  <c:v>30.579999999999838</c:v>
                </c:pt>
                <c:pt idx="80">
                  <c:v>30.059999999999839</c:v>
                </c:pt>
                <c:pt idx="81">
                  <c:v>29.539999999999839</c:v>
                </c:pt>
                <c:pt idx="82">
                  <c:v>29.01999999999984</c:v>
                </c:pt>
                <c:pt idx="83">
                  <c:v>28.49999999999984</c:v>
                </c:pt>
                <c:pt idx="84">
                  <c:v>27.979999999999841</c:v>
                </c:pt>
                <c:pt idx="85">
                  <c:v>27.459999999999841</c:v>
                </c:pt>
                <c:pt idx="86">
                  <c:v>26.939999999999841</c:v>
                </c:pt>
                <c:pt idx="87">
                  <c:v>26.419999999999842</c:v>
                </c:pt>
                <c:pt idx="88">
                  <c:v>25.899999999999842</c:v>
                </c:pt>
                <c:pt idx="89">
                  <c:v>25.379999999999843</c:v>
                </c:pt>
                <c:pt idx="90">
                  <c:v>24.859999999999843</c:v>
                </c:pt>
                <c:pt idx="91">
                  <c:v>24.339999999999844</c:v>
                </c:pt>
                <c:pt idx="92">
                  <c:v>23.819999999999844</c:v>
                </c:pt>
                <c:pt idx="93">
                  <c:v>23.299999999999844</c:v>
                </c:pt>
                <c:pt idx="94">
                  <c:v>22.779999999999845</c:v>
                </c:pt>
                <c:pt idx="95">
                  <c:v>22.259999999999845</c:v>
                </c:pt>
                <c:pt idx="96">
                  <c:v>21.739999999999846</c:v>
                </c:pt>
                <c:pt idx="97">
                  <c:v>21.219999999999846</c:v>
                </c:pt>
                <c:pt idx="98">
                  <c:v>20.699999999999847</c:v>
                </c:pt>
                <c:pt idx="99">
                  <c:v>20.179999999999847</c:v>
                </c:pt>
                <c:pt idx="100">
                  <c:v>19.659999999999847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0-4E4D-B76C-A982ED7C0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182656"/>
        <c:axId val="750186256"/>
      </c:lineChart>
      <c:catAx>
        <c:axId val="75018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86256"/>
        <c:crosses val="autoZero"/>
        <c:auto val="1"/>
        <c:lblAlgn val="ctr"/>
        <c:lblOffset val="100"/>
        <c:noMultiLvlLbl val="0"/>
      </c:catAx>
      <c:valAx>
        <c:axId val="7501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8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300037</xdr:colOff>
      <xdr:row>2</xdr:row>
      <xdr:rowOff>157162</xdr:rowOff>
    </xdr:from>
    <xdr:to>
      <xdr:col>24</xdr:col>
      <xdr:colOff>604837</xdr:colOff>
      <xdr:row>17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515F1C-F6CD-5EE6-BC4B-3191F5E7A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142875</xdr:colOff>
      <xdr:row>3</xdr:row>
      <xdr:rowOff>33337</xdr:rowOff>
    </xdr:from>
    <xdr:to>
      <xdr:col>12</xdr:col>
      <xdr:colOff>485775</xdr:colOff>
      <xdr:row>17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252E8A-889D-9068-4FF7-D50F8755D6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en-roads.climateinteractive.org/scenario.html?v=25.4.0&amp;p1=50&amp;p16=-0.04&amp;p30=0.07&amp;p39=150&amp;p373=40&amp;p375=40&amp;p417=100&amp;p61=50&amp;p57=-10&amp;p67=75&amp;g0=78&amp;g1=62" TargetMode="External"/><Relationship Id="rId1" Type="http://schemas.openxmlformats.org/officeDocument/2006/relationships/hyperlink" Target="https://en-roads.climateinteractive.org/scenario.html?v=25.4.0&amp;p1=100&amp;p7=-14&amp;p10=-0.7&amp;p16=-0.03&amp;p23=25&amp;p30=0.07&amp;p39=100&amp;p375=50&amp;p60=100&amp;p417=100&amp;p61=100&amp;p57=-5&amp;p67=50&amp;g0=78&amp;g1=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workbookViewId="0">
      <selection activeCell="D38" sqref="D38"/>
    </sheetView>
  </sheetViews>
  <sheetFormatPr defaultRowHeight="15" x14ac:dyDescent="0.25"/>
  <cols>
    <col min="2" max="2" width="8.5703125" bestFit="1" customWidth="1"/>
    <col min="3" max="3" width="15.85546875" bestFit="1" customWidth="1"/>
    <col min="4" max="4" width="37.28515625" bestFit="1" customWidth="1"/>
    <col min="12" max="12" width="8.5703125" bestFit="1" customWidth="1"/>
    <col min="13" max="13" width="18.5703125" bestFit="1" customWidth="1"/>
  </cols>
  <sheetData>
    <row r="1" spans="1:17" x14ac:dyDescent="0.25">
      <c r="A1" t="s">
        <v>0</v>
      </c>
      <c r="O1" t="s">
        <v>3</v>
      </c>
    </row>
    <row r="2" spans="1:17" x14ac:dyDescent="0.25">
      <c r="A2" t="s">
        <v>1</v>
      </c>
      <c r="B2" t="s">
        <v>2</v>
      </c>
      <c r="C2" t="s">
        <v>4</v>
      </c>
      <c r="D2" t="s">
        <v>6</v>
      </c>
      <c r="O2" t="s">
        <v>1</v>
      </c>
      <c r="P2" t="s">
        <v>2</v>
      </c>
      <c r="Q2" t="s">
        <v>5</v>
      </c>
    </row>
    <row r="3" spans="1:17" x14ac:dyDescent="0.25">
      <c r="A3">
        <v>2000</v>
      </c>
      <c r="B3">
        <v>41.01</v>
      </c>
      <c r="C3">
        <v>41.01</v>
      </c>
      <c r="D3">
        <f>C3</f>
        <v>41.01</v>
      </c>
      <c r="O3">
        <v>2000</v>
      </c>
      <c r="P3">
        <v>0.79</v>
      </c>
      <c r="Q3">
        <v>0.79</v>
      </c>
    </row>
    <row r="4" spans="1:17" x14ac:dyDescent="0.25">
      <c r="A4">
        <v>2001</v>
      </c>
      <c r="B4">
        <v>41.81</v>
      </c>
      <c r="C4">
        <v>41.81</v>
      </c>
      <c r="D4">
        <f t="shared" ref="D4:D28" si="0">C4</f>
        <v>41.81</v>
      </c>
      <c r="O4">
        <v>2001</v>
      </c>
      <c r="P4">
        <v>0.82</v>
      </c>
      <c r="Q4">
        <v>0.82</v>
      </c>
    </row>
    <row r="5" spans="1:17" x14ac:dyDescent="0.25">
      <c r="A5">
        <v>2002</v>
      </c>
      <c r="B5">
        <v>42.62</v>
      </c>
      <c r="C5">
        <v>42.62</v>
      </c>
      <c r="D5">
        <f t="shared" si="0"/>
        <v>42.62</v>
      </c>
      <c r="O5">
        <v>2002</v>
      </c>
      <c r="P5">
        <v>0.86</v>
      </c>
      <c r="Q5">
        <v>0.86</v>
      </c>
    </row>
    <row r="6" spans="1:17" x14ac:dyDescent="0.25">
      <c r="A6">
        <v>2003</v>
      </c>
      <c r="B6">
        <v>43.42</v>
      </c>
      <c r="C6">
        <v>43.42</v>
      </c>
      <c r="D6">
        <f t="shared" si="0"/>
        <v>43.42</v>
      </c>
      <c r="O6">
        <v>2003</v>
      </c>
      <c r="P6">
        <v>0.87</v>
      </c>
      <c r="Q6">
        <v>0.87</v>
      </c>
    </row>
    <row r="7" spans="1:17" x14ac:dyDescent="0.25">
      <c r="A7">
        <v>2004</v>
      </c>
      <c r="B7">
        <v>44.35</v>
      </c>
      <c r="C7">
        <v>44.35</v>
      </c>
      <c r="D7">
        <f t="shared" si="0"/>
        <v>44.35</v>
      </c>
      <c r="O7">
        <v>2004</v>
      </c>
      <c r="P7">
        <v>0.89</v>
      </c>
      <c r="Q7">
        <v>0.89</v>
      </c>
    </row>
    <row r="8" spans="1:17" x14ac:dyDescent="0.25">
      <c r="A8">
        <v>2005</v>
      </c>
      <c r="B8">
        <v>45.43</v>
      </c>
      <c r="C8">
        <v>45.43</v>
      </c>
      <c r="D8">
        <f t="shared" si="0"/>
        <v>45.43</v>
      </c>
      <c r="O8">
        <v>2005</v>
      </c>
      <c r="P8">
        <v>0.89</v>
      </c>
      <c r="Q8">
        <v>0.89</v>
      </c>
    </row>
    <row r="9" spans="1:17" x14ac:dyDescent="0.25">
      <c r="A9">
        <v>2006</v>
      </c>
      <c r="B9">
        <v>46.53</v>
      </c>
      <c r="C9">
        <v>46.53</v>
      </c>
      <c r="D9">
        <f t="shared" si="0"/>
        <v>46.53</v>
      </c>
      <c r="O9">
        <v>2006</v>
      </c>
      <c r="P9">
        <v>0.9</v>
      </c>
      <c r="Q9">
        <v>0.9</v>
      </c>
    </row>
    <row r="10" spans="1:17" x14ac:dyDescent="0.25">
      <c r="A10">
        <v>2007</v>
      </c>
      <c r="B10">
        <v>47.73</v>
      </c>
      <c r="C10">
        <v>47.73</v>
      </c>
      <c r="D10">
        <f t="shared" si="0"/>
        <v>47.73</v>
      </c>
      <c r="O10">
        <v>2007</v>
      </c>
      <c r="P10">
        <v>0.9</v>
      </c>
      <c r="Q10">
        <v>0.9</v>
      </c>
    </row>
    <row r="11" spans="1:17" x14ac:dyDescent="0.25">
      <c r="A11">
        <v>2008</v>
      </c>
      <c r="B11">
        <v>48.94</v>
      </c>
      <c r="C11">
        <v>48.94</v>
      </c>
      <c r="D11">
        <f t="shared" si="0"/>
        <v>48.94</v>
      </c>
      <c r="O11">
        <v>2008</v>
      </c>
      <c r="P11">
        <v>0.91</v>
      </c>
      <c r="Q11">
        <v>0.91</v>
      </c>
    </row>
    <row r="12" spans="1:17" x14ac:dyDescent="0.25">
      <c r="A12">
        <v>2009</v>
      </c>
      <c r="B12">
        <v>49.94</v>
      </c>
      <c r="C12">
        <v>49.94</v>
      </c>
      <c r="D12">
        <f t="shared" si="0"/>
        <v>49.94</v>
      </c>
      <c r="O12">
        <v>2009</v>
      </c>
      <c r="P12">
        <v>0.93</v>
      </c>
      <c r="Q12">
        <v>0.93</v>
      </c>
    </row>
    <row r="13" spans="1:17" x14ac:dyDescent="0.25">
      <c r="A13">
        <v>2010</v>
      </c>
      <c r="B13">
        <v>50.76</v>
      </c>
      <c r="C13">
        <v>50.76</v>
      </c>
      <c r="D13">
        <f t="shared" si="0"/>
        <v>50.76</v>
      </c>
      <c r="O13">
        <v>2010</v>
      </c>
      <c r="P13">
        <v>0.96</v>
      </c>
      <c r="Q13">
        <v>0.96</v>
      </c>
    </row>
    <row r="14" spans="1:17" x14ac:dyDescent="0.25">
      <c r="A14">
        <v>2011</v>
      </c>
      <c r="B14">
        <v>51.79</v>
      </c>
      <c r="C14">
        <v>51.79</v>
      </c>
      <c r="D14">
        <f t="shared" si="0"/>
        <v>51.79</v>
      </c>
      <c r="O14">
        <v>2011</v>
      </c>
      <c r="P14">
        <v>0.98</v>
      </c>
      <c r="Q14">
        <v>0.98</v>
      </c>
    </row>
    <row r="15" spans="1:17" x14ac:dyDescent="0.25">
      <c r="A15">
        <v>2012</v>
      </c>
      <c r="B15">
        <v>52.82</v>
      </c>
      <c r="C15">
        <v>52.82</v>
      </c>
      <c r="D15">
        <f t="shared" si="0"/>
        <v>52.82</v>
      </c>
      <c r="O15">
        <v>2012</v>
      </c>
      <c r="P15">
        <v>1.01</v>
      </c>
      <c r="Q15">
        <v>1.01</v>
      </c>
    </row>
    <row r="16" spans="1:17" x14ac:dyDescent="0.25">
      <c r="A16">
        <v>2013</v>
      </c>
      <c r="B16">
        <v>53.78</v>
      </c>
      <c r="C16">
        <v>53.78</v>
      </c>
      <c r="D16">
        <f t="shared" si="0"/>
        <v>53.78</v>
      </c>
      <c r="O16">
        <v>2013</v>
      </c>
      <c r="P16">
        <v>1.05</v>
      </c>
      <c r="Q16">
        <v>1.05</v>
      </c>
    </row>
    <row r="17" spans="1:17" x14ac:dyDescent="0.25">
      <c r="A17">
        <v>2014</v>
      </c>
      <c r="B17">
        <v>54.69</v>
      </c>
      <c r="C17">
        <v>54.69</v>
      </c>
      <c r="D17">
        <f t="shared" si="0"/>
        <v>54.69</v>
      </c>
      <c r="O17">
        <v>2014</v>
      </c>
      <c r="P17">
        <v>1.08</v>
      </c>
      <c r="Q17">
        <v>1.08</v>
      </c>
    </row>
    <row r="18" spans="1:17" x14ac:dyDescent="0.25">
      <c r="A18">
        <v>2015</v>
      </c>
      <c r="B18">
        <v>55.43</v>
      </c>
      <c r="C18">
        <v>55.43</v>
      </c>
      <c r="D18">
        <f t="shared" si="0"/>
        <v>55.43</v>
      </c>
      <c r="O18">
        <v>2015</v>
      </c>
      <c r="P18">
        <v>1.1200000000000001</v>
      </c>
      <c r="Q18">
        <v>1.1200000000000001</v>
      </c>
    </row>
    <row r="19" spans="1:17" x14ac:dyDescent="0.25">
      <c r="A19">
        <v>2016</v>
      </c>
      <c r="B19">
        <v>56.14</v>
      </c>
      <c r="C19">
        <v>56.14</v>
      </c>
      <c r="D19">
        <f t="shared" si="0"/>
        <v>56.14</v>
      </c>
      <c r="O19">
        <v>2016</v>
      </c>
      <c r="P19">
        <v>1.1499999999999999</v>
      </c>
      <c r="Q19">
        <v>1.1499999999999999</v>
      </c>
    </row>
    <row r="20" spans="1:17" x14ac:dyDescent="0.25">
      <c r="A20">
        <v>2017</v>
      </c>
      <c r="B20">
        <v>56.78</v>
      </c>
      <c r="C20">
        <v>56.78</v>
      </c>
      <c r="D20">
        <f t="shared" si="0"/>
        <v>56.78</v>
      </c>
      <c r="O20">
        <v>2017</v>
      </c>
      <c r="P20">
        <v>1.18</v>
      </c>
      <c r="Q20">
        <v>1.18</v>
      </c>
    </row>
    <row r="21" spans="1:17" x14ac:dyDescent="0.25">
      <c r="A21">
        <v>2018</v>
      </c>
      <c r="B21">
        <v>57.42</v>
      </c>
      <c r="C21">
        <v>57.42</v>
      </c>
      <c r="D21">
        <f t="shared" si="0"/>
        <v>57.42</v>
      </c>
      <c r="O21">
        <v>2018</v>
      </c>
      <c r="P21">
        <v>1.2</v>
      </c>
      <c r="Q21">
        <v>1.2</v>
      </c>
    </row>
    <row r="22" spans="1:17" x14ac:dyDescent="0.25">
      <c r="A22">
        <v>2019</v>
      </c>
      <c r="B22">
        <v>57.92</v>
      </c>
      <c r="C22">
        <v>57.92</v>
      </c>
      <c r="D22">
        <f t="shared" si="0"/>
        <v>57.92</v>
      </c>
      <c r="O22">
        <v>2019</v>
      </c>
      <c r="P22">
        <v>1.23</v>
      </c>
      <c r="Q22">
        <v>1.23</v>
      </c>
    </row>
    <row r="23" spans="1:17" x14ac:dyDescent="0.25">
      <c r="A23">
        <v>2020</v>
      </c>
      <c r="B23">
        <v>58.07</v>
      </c>
      <c r="C23">
        <v>58.07</v>
      </c>
      <c r="D23">
        <f t="shared" si="0"/>
        <v>58.07</v>
      </c>
      <c r="O23">
        <v>2020</v>
      </c>
      <c r="P23">
        <v>1.26</v>
      </c>
      <c r="Q23">
        <v>1.26</v>
      </c>
    </row>
    <row r="24" spans="1:17" x14ac:dyDescent="0.25">
      <c r="A24">
        <v>2021</v>
      </c>
      <c r="B24">
        <v>57.84</v>
      </c>
      <c r="C24">
        <v>57.84</v>
      </c>
      <c r="D24">
        <f t="shared" si="0"/>
        <v>57.84</v>
      </c>
      <c r="O24">
        <v>2021</v>
      </c>
      <c r="P24">
        <v>1.28</v>
      </c>
      <c r="Q24">
        <v>1.28</v>
      </c>
    </row>
    <row r="25" spans="1:17" x14ac:dyDescent="0.25">
      <c r="A25">
        <v>2022</v>
      </c>
      <c r="B25">
        <v>57.97</v>
      </c>
      <c r="C25">
        <v>57.97</v>
      </c>
      <c r="D25">
        <f t="shared" si="0"/>
        <v>57.97</v>
      </c>
      <c r="O25">
        <v>2022</v>
      </c>
      <c r="P25">
        <v>1.31</v>
      </c>
      <c r="Q25">
        <v>1.31</v>
      </c>
    </row>
    <row r="26" spans="1:17" x14ac:dyDescent="0.25">
      <c r="A26">
        <v>2023</v>
      </c>
      <c r="B26">
        <v>58.19</v>
      </c>
      <c r="C26">
        <v>58.19</v>
      </c>
      <c r="D26">
        <f t="shared" si="0"/>
        <v>58.19</v>
      </c>
      <c r="O26">
        <v>2023</v>
      </c>
      <c r="P26">
        <v>1.34</v>
      </c>
      <c r="Q26">
        <v>1.34</v>
      </c>
    </row>
    <row r="27" spans="1:17" x14ac:dyDescent="0.25">
      <c r="A27">
        <v>2024</v>
      </c>
      <c r="B27">
        <v>58.38</v>
      </c>
      <c r="C27">
        <v>58.38</v>
      </c>
      <c r="D27">
        <f t="shared" si="0"/>
        <v>58.38</v>
      </c>
      <c r="O27">
        <v>2024</v>
      </c>
      <c r="P27">
        <v>1.36</v>
      </c>
      <c r="Q27">
        <v>1.36</v>
      </c>
    </row>
    <row r="28" spans="1:17" x14ac:dyDescent="0.25">
      <c r="A28">
        <v>2025</v>
      </c>
      <c r="B28">
        <v>58.53</v>
      </c>
      <c r="C28">
        <v>58.53</v>
      </c>
      <c r="D28">
        <f t="shared" si="0"/>
        <v>58.53</v>
      </c>
      <c r="O28">
        <v>2025</v>
      </c>
      <c r="P28">
        <v>1.39</v>
      </c>
      <c r="Q28">
        <v>1.39</v>
      </c>
    </row>
    <row r="29" spans="1:17" x14ac:dyDescent="0.25">
      <c r="A29">
        <v>2026</v>
      </c>
      <c r="B29">
        <v>58.66</v>
      </c>
      <c r="C29">
        <v>56.65</v>
      </c>
      <c r="D29">
        <f>B29-0.52</f>
        <v>58.139999999999993</v>
      </c>
      <c r="O29">
        <v>2026</v>
      </c>
      <c r="P29">
        <v>1.41</v>
      </c>
      <c r="Q29">
        <v>1.41</v>
      </c>
    </row>
    <row r="30" spans="1:17" x14ac:dyDescent="0.25">
      <c r="A30">
        <v>2027</v>
      </c>
      <c r="B30">
        <v>58.79</v>
      </c>
      <c r="C30">
        <v>55.24</v>
      </c>
      <c r="D30">
        <f>D29-0.52</f>
        <v>57.61999999999999</v>
      </c>
      <c r="O30">
        <v>2027</v>
      </c>
      <c r="P30">
        <v>1.44</v>
      </c>
      <c r="Q30">
        <v>1.44</v>
      </c>
    </row>
    <row r="31" spans="1:17" x14ac:dyDescent="0.25">
      <c r="A31">
        <v>2028</v>
      </c>
      <c r="B31">
        <v>58.93</v>
      </c>
      <c r="C31">
        <v>53.88</v>
      </c>
      <c r="D31">
        <f t="shared" ref="D31:D94" si="1">D30-0.52</f>
        <v>57.099999999999987</v>
      </c>
      <c r="O31">
        <v>2028</v>
      </c>
      <c r="P31">
        <v>1.46</v>
      </c>
      <c r="Q31">
        <v>1.46</v>
      </c>
    </row>
    <row r="32" spans="1:17" x14ac:dyDescent="0.25">
      <c r="A32">
        <v>2029</v>
      </c>
      <c r="B32">
        <v>59.08</v>
      </c>
      <c r="C32">
        <v>52.45</v>
      </c>
      <c r="D32">
        <f t="shared" si="1"/>
        <v>56.579999999999984</v>
      </c>
      <c r="O32">
        <v>2029</v>
      </c>
      <c r="P32">
        <v>1.49</v>
      </c>
      <c r="Q32">
        <v>1.48</v>
      </c>
    </row>
    <row r="33" spans="1:17" x14ac:dyDescent="0.25">
      <c r="A33">
        <v>2030</v>
      </c>
      <c r="B33">
        <v>59.23</v>
      </c>
      <c r="C33">
        <v>50.91</v>
      </c>
      <c r="D33">
        <f t="shared" si="1"/>
        <v>56.059999999999981</v>
      </c>
      <c r="O33">
        <v>2030</v>
      </c>
      <c r="P33">
        <v>1.51</v>
      </c>
      <c r="Q33">
        <v>1.51</v>
      </c>
    </row>
    <row r="34" spans="1:17" x14ac:dyDescent="0.25">
      <c r="A34">
        <v>2031</v>
      </c>
      <c r="B34">
        <v>59.4</v>
      </c>
      <c r="C34">
        <v>49.27</v>
      </c>
      <c r="D34">
        <f t="shared" si="1"/>
        <v>55.539999999999978</v>
      </c>
      <c r="O34">
        <v>2031</v>
      </c>
      <c r="P34">
        <v>1.53</v>
      </c>
      <c r="Q34">
        <v>1.53</v>
      </c>
    </row>
    <row r="35" spans="1:17" x14ac:dyDescent="0.25">
      <c r="A35">
        <v>2032</v>
      </c>
      <c r="B35">
        <v>59.57</v>
      </c>
      <c r="C35">
        <v>47.55</v>
      </c>
      <c r="D35">
        <f t="shared" si="1"/>
        <v>55.019999999999975</v>
      </c>
      <c r="O35">
        <v>2032</v>
      </c>
      <c r="P35">
        <v>1.56</v>
      </c>
      <c r="Q35">
        <v>1.55</v>
      </c>
    </row>
    <row r="36" spans="1:17" x14ac:dyDescent="0.25">
      <c r="A36">
        <v>2033</v>
      </c>
      <c r="B36">
        <v>59.75</v>
      </c>
      <c r="C36">
        <v>45.76</v>
      </c>
      <c r="D36">
        <f t="shared" si="1"/>
        <v>54.499999999999972</v>
      </c>
      <c r="O36">
        <v>2033</v>
      </c>
      <c r="P36">
        <v>1.58</v>
      </c>
      <c r="Q36">
        <v>1.57</v>
      </c>
    </row>
    <row r="37" spans="1:17" x14ac:dyDescent="0.25">
      <c r="A37">
        <v>2034</v>
      </c>
      <c r="B37">
        <v>59.94</v>
      </c>
      <c r="C37">
        <v>43.92</v>
      </c>
      <c r="D37">
        <f t="shared" si="1"/>
        <v>53.979999999999968</v>
      </c>
      <c r="O37">
        <v>2034</v>
      </c>
      <c r="P37">
        <v>1.61</v>
      </c>
      <c r="Q37">
        <v>1.59</v>
      </c>
    </row>
    <row r="38" spans="1:17" x14ac:dyDescent="0.25">
      <c r="A38">
        <v>2035</v>
      </c>
      <c r="B38">
        <v>60.13</v>
      </c>
      <c r="C38">
        <v>42.05</v>
      </c>
      <c r="D38">
        <f t="shared" si="1"/>
        <v>53.459999999999965</v>
      </c>
      <c r="O38">
        <v>2035</v>
      </c>
      <c r="P38">
        <v>1.63</v>
      </c>
      <c r="Q38">
        <v>1.61</v>
      </c>
    </row>
    <row r="39" spans="1:17" x14ac:dyDescent="0.25">
      <c r="A39">
        <v>2036</v>
      </c>
      <c r="B39">
        <v>60.35</v>
      </c>
      <c r="C39">
        <v>40.909999999999997</v>
      </c>
      <c r="D39">
        <f t="shared" si="1"/>
        <v>52.939999999999962</v>
      </c>
      <c r="O39">
        <v>2036</v>
      </c>
      <c r="P39">
        <v>1.66</v>
      </c>
      <c r="Q39">
        <v>1.62</v>
      </c>
    </row>
    <row r="40" spans="1:17" x14ac:dyDescent="0.25">
      <c r="A40">
        <v>2037</v>
      </c>
      <c r="B40">
        <v>60.59</v>
      </c>
      <c r="C40">
        <v>39.89</v>
      </c>
      <c r="D40">
        <f t="shared" si="1"/>
        <v>52.419999999999959</v>
      </c>
      <c r="O40">
        <v>2037</v>
      </c>
      <c r="P40">
        <v>1.68</v>
      </c>
      <c r="Q40">
        <v>1.64</v>
      </c>
    </row>
    <row r="41" spans="1:17" x14ac:dyDescent="0.25">
      <c r="A41">
        <v>2038</v>
      </c>
      <c r="B41">
        <v>60.84</v>
      </c>
      <c r="C41">
        <v>38.869999999999997</v>
      </c>
      <c r="D41">
        <f t="shared" si="1"/>
        <v>51.899999999999956</v>
      </c>
      <c r="O41">
        <v>2038</v>
      </c>
      <c r="P41">
        <v>1.71</v>
      </c>
      <c r="Q41">
        <v>1.65</v>
      </c>
    </row>
    <row r="42" spans="1:17" x14ac:dyDescent="0.25">
      <c r="A42">
        <v>2039</v>
      </c>
      <c r="B42">
        <v>61.1</v>
      </c>
      <c r="C42">
        <v>37.880000000000003</v>
      </c>
      <c r="D42">
        <f t="shared" si="1"/>
        <v>51.379999999999953</v>
      </c>
      <c r="O42">
        <v>2039</v>
      </c>
      <c r="P42">
        <v>1.73</v>
      </c>
      <c r="Q42">
        <v>1.67</v>
      </c>
    </row>
    <row r="43" spans="1:17" x14ac:dyDescent="0.25">
      <c r="A43">
        <v>2040</v>
      </c>
      <c r="B43">
        <v>61.39</v>
      </c>
      <c r="C43">
        <v>36.89</v>
      </c>
      <c r="D43">
        <f t="shared" si="1"/>
        <v>50.85999999999995</v>
      </c>
      <c r="O43">
        <v>2040</v>
      </c>
      <c r="P43">
        <v>1.75</v>
      </c>
      <c r="Q43">
        <v>1.68</v>
      </c>
    </row>
    <row r="44" spans="1:17" x14ac:dyDescent="0.25">
      <c r="A44">
        <v>2041</v>
      </c>
      <c r="B44">
        <v>61.68</v>
      </c>
      <c r="C44">
        <v>35.93</v>
      </c>
      <c r="D44">
        <f t="shared" si="1"/>
        <v>50.339999999999947</v>
      </c>
      <c r="O44">
        <v>2041</v>
      </c>
      <c r="P44">
        <v>1.78</v>
      </c>
      <c r="Q44">
        <v>1.69</v>
      </c>
    </row>
    <row r="45" spans="1:17" x14ac:dyDescent="0.25">
      <c r="A45">
        <v>2042</v>
      </c>
      <c r="B45">
        <v>61.99</v>
      </c>
      <c r="C45">
        <v>35.020000000000003</v>
      </c>
      <c r="D45">
        <f t="shared" si="1"/>
        <v>49.819999999999943</v>
      </c>
      <c r="O45">
        <v>2042</v>
      </c>
      <c r="P45">
        <v>1.8</v>
      </c>
      <c r="Q45">
        <v>1.71</v>
      </c>
    </row>
    <row r="46" spans="1:17" x14ac:dyDescent="0.25">
      <c r="A46">
        <v>2043</v>
      </c>
      <c r="B46">
        <v>62.32</v>
      </c>
      <c r="C46">
        <v>34.15</v>
      </c>
      <c r="D46">
        <f t="shared" si="1"/>
        <v>49.29999999999994</v>
      </c>
      <c r="O46">
        <v>2043</v>
      </c>
      <c r="P46">
        <v>1.83</v>
      </c>
      <c r="Q46">
        <v>1.72</v>
      </c>
    </row>
    <row r="47" spans="1:17" x14ac:dyDescent="0.25">
      <c r="A47">
        <v>2044</v>
      </c>
      <c r="B47">
        <v>62.65</v>
      </c>
      <c r="C47">
        <v>33.32</v>
      </c>
      <c r="D47">
        <f t="shared" si="1"/>
        <v>48.779999999999937</v>
      </c>
      <c r="O47">
        <v>2044</v>
      </c>
      <c r="P47">
        <v>1.85</v>
      </c>
      <c r="Q47">
        <v>1.73</v>
      </c>
    </row>
    <row r="48" spans="1:17" x14ac:dyDescent="0.25">
      <c r="A48">
        <v>2045</v>
      </c>
      <c r="B48">
        <v>62.99</v>
      </c>
      <c r="C48">
        <v>32.53</v>
      </c>
      <c r="D48">
        <f t="shared" si="1"/>
        <v>48.259999999999934</v>
      </c>
      <c r="O48">
        <v>2045</v>
      </c>
      <c r="P48">
        <v>1.88</v>
      </c>
      <c r="Q48">
        <v>1.74</v>
      </c>
    </row>
    <row r="49" spans="1:17" x14ac:dyDescent="0.25">
      <c r="A49">
        <v>2046</v>
      </c>
      <c r="B49">
        <v>63.34</v>
      </c>
      <c r="C49">
        <v>31.75</v>
      </c>
      <c r="D49">
        <f t="shared" si="1"/>
        <v>47.739999999999931</v>
      </c>
      <c r="O49">
        <v>2046</v>
      </c>
      <c r="P49">
        <v>1.9</v>
      </c>
      <c r="Q49">
        <v>1.75</v>
      </c>
    </row>
    <row r="50" spans="1:17" x14ac:dyDescent="0.25">
      <c r="A50">
        <v>2047</v>
      </c>
      <c r="B50">
        <v>63.7</v>
      </c>
      <c r="C50">
        <v>30.99</v>
      </c>
      <c r="D50">
        <f t="shared" si="1"/>
        <v>47.219999999999928</v>
      </c>
      <c r="O50">
        <v>2047</v>
      </c>
      <c r="P50">
        <v>1.93</v>
      </c>
      <c r="Q50">
        <v>1.76</v>
      </c>
    </row>
    <row r="51" spans="1:17" x14ac:dyDescent="0.25">
      <c r="A51">
        <v>2048</v>
      </c>
      <c r="B51">
        <v>64.069999999999993</v>
      </c>
      <c r="C51">
        <v>30.29</v>
      </c>
      <c r="D51">
        <f t="shared" si="1"/>
        <v>46.699999999999925</v>
      </c>
      <c r="O51">
        <v>2048</v>
      </c>
      <c r="P51">
        <v>1.95</v>
      </c>
      <c r="Q51">
        <v>1.77</v>
      </c>
    </row>
    <row r="52" spans="1:17" x14ac:dyDescent="0.25">
      <c r="A52">
        <v>2049</v>
      </c>
      <c r="B52">
        <v>64.44</v>
      </c>
      <c r="C52">
        <v>29.64</v>
      </c>
      <c r="D52">
        <f t="shared" si="1"/>
        <v>46.179999999999922</v>
      </c>
      <c r="O52">
        <v>2049</v>
      </c>
      <c r="P52">
        <v>1.98</v>
      </c>
      <c r="Q52">
        <v>1.78</v>
      </c>
    </row>
    <row r="53" spans="1:17" x14ac:dyDescent="0.25">
      <c r="A53">
        <v>2050</v>
      </c>
      <c r="B53">
        <v>64.819999999999993</v>
      </c>
      <c r="C53">
        <v>29.04</v>
      </c>
      <c r="D53">
        <f t="shared" si="1"/>
        <v>45.659999999999918</v>
      </c>
      <c r="O53">
        <v>2050</v>
      </c>
      <c r="P53">
        <v>2</v>
      </c>
      <c r="Q53">
        <v>1.78</v>
      </c>
    </row>
    <row r="54" spans="1:17" x14ac:dyDescent="0.25">
      <c r="A54">
        <v>2051</v>
      </c>
      <c r="B54">
        <v>65.19</v>
      </c>
      <c r="C54">
        <v>28.48</v>
      </c>
      <c r="D54">
        <f t="shared" si="1"/>
        <v>45.139999999999915</v>
      </c>
      <c r="O54">
        <v>2051</v>
      </c>
      <c r="P54">
        <v>2.0299999999999998</v>
      </c>
      <c r="Q54">
        <v>1.79</v>
      </c>
    </row>
    <row r="55" spans="1:17" x14ac:dyDescent="0.25">
      <c r="A55">
        <v>2052</v>
      </c>
      <c r="B55">
        <v>65.569999999999993</v>
      </c>
      <c r="C55">
        <v>27.95</v>
      </c>
      <c r="D55">
        <f t="shared" si="1"/>
        <v>44.619999999999912</v>
      </c>
      <c r="O55">
        <v>2052</v>
      </c>
      <c r="P55">
        <v>2.0499999999999998</v>
      </c>
      <c r="Q55">
        <v>1.8</v>
      </c>
    </row>
    <row r="56" spans="1:17" x14ac:dyDescent="0.25">
      <c r="A56">
        <v>2053</v>
      </c>
      <c r="B56">
        <v>65.95</v>
      </c>
      <c r="C56">
        <v>27.45</v>
      </c>
      <c r="D56">
        <f t="shared" si="1"/>
        <v>44.099999999999909</v>
      </c>
      <c r="O56">
        <v>2053</v>
      </c>
      <c r="P56">
        <v>2.08</v>
      </c>
      <c r="Q56">
        <v>1.81</v>
      </c>
    </row>
    <row r="57" spans="1:17" x14ac:dyDescent="0.25">
      <c r="A57">
        <v>2054</v>
      </c>
      <c r="B57">
        <v>66.319999999999993</v>
      </c>
      <c r="C57">
        <v>26.98</v>
      </c>
      <c r="D57">
        <f t="shared" si="1"/>
        <v>43.579999999999906</v>
      </c>
      <c r="O57">
        <v>2054</v>
      </c>
      <c r="P57">
        <v>2.1</v>
      </c>
      <c r="Q57">
        <v>1.81</v>
      </c>
    </row>
    <row r="58" spans="1:17" x14ac:dyDescent="0.25">
      <c r="A58">
        <v>2055</v>
      </c>
      <c r="B58">
        <v>66.680000000000007</v>
      </c>
      <c r="C58">
        <v>26.52</v>
      </c>
      <c r="D58">
        <f t="shared" si="1"/>
        <v>43.059999999999903</v>
      </c>
      <c r="O58">
        <v>2055</v>
      </c>
      <c r="P58">
        <v>2.13</v>
      </c>
      <c r="Q58">
        <v>1.82</v>
      </c>
    </row>
    <row r="59" spans="1:17" x14ac:dyDescent="0.25">
      <c r="A59">
        <v>2056</v>
      </c>
      <c r="B59">
        <v>67.040000000000006</v>
      </c>
      <c r="C59">
        <v>26.09</v>
      </c>
      <c r="D59">
        <f t="shared" si="1"/>
        <v>42.5399999999999</v>
      </c>
      <c r="O59">
        <v>2056</v>
      </c>
      <c r="P59">
        <v>2.15</v>
      </c>
      <c r="Q59">
        <v>1.82</v>
      </c>
    </row>
    <row r="60" spans="1:17" x14ac:dyDescent="0.25">
      <c r="A60">
        <v>2057</v>
      </c>
      <c r="B60">
        <v>67.39</v>
      </c>
      <c r="C60">
        <v>25.69</v>
      </c>
      <c r="D60">
        <f t="shared" si="1"/>
        <v>42.019999999999897</v>
      </c>
      <c r="O60">
        <v>2057</v>
      </c>
      <c r="P60">
        <v>2.1800000000000002</v>
      </c>
      <c r="Q60">
        <v>1.83</v>
      </c>
    </row>
    <row r="61" spans="1:17" x14ac:dyDescent="0.25">
      <c r="A61">
        <v>2058</v>
      </c>
      <c r="B61">
        <v>67.73</v>
      </c>
      <c r="C61">
        <v>25.31</v>
      </c>
      <c r="D61">
        <f t="shared" si="1"/>
        <v>41.499999999999893</v>
      </c>
      <c r="O61">
        <v>2058</v>
      </c>
      <c r="P61">
        <v>2.2000000000000002</v>
      </c>
      <c r="Q61">
        <v>1.83</v>
      </c>
    </row>
    <row r="62" spans="1:17" x14ac:dyDescent="0.25">
      <c r="A62">
        <v>2059</v>
      </c>
      <c r="B62">
        <v>68.06</v>
      </c>
      <c r="C62">
        <v>24.95</v>
      </c>
      <c r="D62">
        <f t="shared" si="1"/>
        <v>40.97999999999989</v>
      </c>
      <c r="O62">
        <v>2059</v>
      </c>
      <c r="P62">
        <v>2.23</v>
      </c>
      <c r="Q62">
        <v>1.84</v>
      </c>
    </row>
    <row r="63" spans="1:17" x14ac:dyDescent="0.25">
      <c r="A63">
        <v>2060</v>
      </c>
      <c r="B63">
        <v>68.38</v>
      </c>
      <c r="C63">
        <v>24.61</v>
      </c>
      <c r="D63">
        <f t="shared" si="1"/>
        <v>40.459999999999887</v>
      </c>
      <c r="O63">
        <v>2060</v>
      </c>
      <c r="P63">
        <v>2.2599999999999998</v>
      </c>
      <c r="Q63">
        <v>1.84</v>
      </c>
    </row>
    <row r="64" spans="1:17" x14ac:dyDescent="0.25">
      <c r="A64">
        <v>2061</v>
      </c>
      <c r="B64">
        <v>68.680000000000007</v>
      </c>
      <c r="C64">
        <v>24.28</v>
      </c>
      <c r="D64">
        <f t="shared" si="1"/>
        <v>39.939999999999884</v>
      </c>
      <c r="O64">
        <v>2061</v>
      </c>
      <c r="P64">
        <v>2.2799999999999998</v>
      </c>
      <c r="Q64">
        <v>1.85</v>
      </c>
    </row>
    <row r="65" spans="1:17" x14ac:dyDescent="0.25">
      <c r="A65">
        <v>2062</v>
      </c>
      <c r="B65">
        <v>68.97</v>
      </c>
      <c r="C65">
        <v>23.98</v>
      </c>
      <c r="D65">
        <f t="shared" si="1"/>
        <v>39.419999999999881</v>
      </c>
      <c r="O65">
        <v>2062</v>
      </c>
      <c r="P65">
        <v>2.31</v>
      </c>
      <c r="Q65">
        <v>1.85</v>
      </c>
    </row>
    <row r="66" spans="1:17" x14ac:dyDescent="0.25">
      <c r="A66">
        <v>2063</v>
      </c>
      <c r="B66">
        <v>69.25</v>
      </c>
      <c r="C66">
        <v>23.69</v>
      </c>
      <c r="D66">
        <f t="shared" si="1"/>
        <v>38.899999999999878</v>
      </c>
      <c r="O66">
        <v>2063</v>
      </c>
      <c r="P66">
        <v>2.33</v>
      </c>
      <c r="Q66">
        <v>1.86</v>
      </c>
    </row>
    <row r="67" spans="1:17" x14ac:dyDescent="0.25">
      <c r="A67">
        <v>2064</v>
      </c>
      <c r="B67">
        <v>69.510000000000005</v>
      </c>
      <c r="C67">
        <v>23.41</v>
      </c>
      <c r="D67">
        <f t="shared" si="1"/>
        <v>38.379999999999875</v>
      </c>
      <c r="O67">
        <v>2064</v>
      </c>
      <c r="P67">
        <v>2.36</v>
      </c>
      <c r="Q67">
        <v>1.86</v>
      </c>
    </row>
    <row r="68" spans="1:17" x14ac:dyDescent="0.25">
      <c r="A68">
        <v>2065</v>
      </c>
      <c r="B68">
        <v>69.760000000000005</v>
      </c>
      <c r="C68">
        <v>23.15</v>
      </c>
      <c r="D68">
        <f t="shared" si="1"/>
        <v>37.859999999999872</v>
      </c>
      <c r="O68">
        <v>2065</v>
      </c>
      <c r="P68">
        <v>2.39</v>
      </c>
      <c r="Q68">
        <v>1.87</v>
      </c>
    </row>
    <row r="69" spans="1:17" x14ac:dyDescent="0.25">
      <c r="A69">
        <v>2066</v>
      </c>
      <c r="B69">
        <v>69.989999999999995</v>
      </c>
      <c r="C69">
        <v>22.91</v>
      </c>
      <c r="D69">
        <f t="shared" si="1"/>
        <v>37.339999999999868</v>
      </c>
      <c r="O69">
        <v>2066</v>
      </c>
      <c r="P69">
        <v>2.41</v>
      </c>
      <c r="Q69">
        <v>1.87</v>
      </c>
    </row>
    <row r="70" spans="1:17" x14ac:dyDescent="0.25">
      <c r="A70">
        <v>2067</v>
      </c>
      <c r="B70">
        <v>70.2</v>
      </c>
      <c r="C70">
        <v>22.67</v>
      </c>
      <c r="D70">
        <f t="shared" si="1"/>
        <v>36.819999999999865</v>
      </c>
      <c r="O70">
        <v>2067</v>
      </c>
      <c r="P70">
        <v>2.44</v>
      </c>
      <c r="Q70">
        <v>1.88</v>
      </c>
    </row>
    <row r="71" spans="1:17" x14ac:dyDescent="0.25">
      <c r="A71">
        <v>2068</v>
      </c>
      <c r="B71">
        <v>70.400000000000006</v>
      </c>
      <c r="C71">
        <v>22.45</v>
      </c>
      <c r="D71">
        <f t="shared" si="1"/>
        <v>36.299999999999862</v>
      </c>
      <c r="O71">
        <v>2068</v>
      </c>
      <c r="P71">
        <v>2.4700000000000002</v>
      </c>
      <c r="Q71">
        <v>1.88</v>
      </c>
    </row>
    <row r="72" spans="1:17" x14ac:dyDescent="0.25">
      <c r="A72">
        <v>2069</v>
      </c>
      <c r="B72">
        <v>70.58</v>
      </c>
      <c r="C72">
        <v>22.24</v>
      </c>
      <c r="D72">
        <f t="shared" si="1"/>
        <v>35.779999999999859</v>
      </c>
      <c r="O72">
        <v>2069</v>
      </c>
      <c r="P72">
        <v>2.5</v>
      </c>
      <c r="Q72">
        <v>1.89</v>
      </c>
    </row>
    <row r="73" spans="1:17" x14ac:dyDescent="0.25">
      <c r="A73">
        <v>2070</v>
      </c>
      <c r="B73">
        <v>70.75</v>
      </c>
      <c r="C73">
        <v>22.03</v>
      </c>
      <c r="D73">
        <f t="shared" si="1"/>
        <v>35.259999999999856</v>
      </c>
      <c r="O73">
        <v>2070</v>
      </c>
      <c r="P73">
        <v>2.52</v>
      </c>
      <c r="Q73">
        <v>1.89</v>
      </c>
    </row>
    <row r="74" spans="1:17" x14ac:dyDescent="0.25">
      <c r="A74">
        <v>2071</v>
      </c>
      <c r="B74">
        <v>70.91</v>
      </c>
      <c r="C74">
        <v>21.84</v>
      </c>
      <c r="D74">
        <f t="shared" si="1"/>
        <v>34.739999999999853</v>
      </c>
      <c r="O74">
        <v>2071</v>
      </c>
      <c r="P74">
        <v>2.5499999999999998</v>
      </c>
      <c r="Q74">
        <v>1.9</v>
      </c>
    </row>
    <row r="75" spans="1:17" x14ac:dyDescent="0.25">
      <c r="A75">
        <v>2072</v>
      </c>
      <c r="B75">
        <v>71.05</v>
      </c>
      <c r="C75">
        <v>21.65</v>
      </c>
      <c r="D75">
        <f t="shared" si="1"/>
        <v>34.21999999999985</v>
      </c>
      <c r="O75">
        <v>2072</v>
      </c>
      <c r="P75">
        <v>2.58</v>
      </c>
      <c r="Q75">
        <v>1.9</v>
      </c>
    </row>
    <row r="76" spans="1:17" x14ac:dyDescent="0.25">
      <c r="A76">
        <v>2073</v>
      </c>
      <c r="B76">
        <v>71.180000000000007</v>
      </c>
      <c r="C76">
        <v>21.47</v>
      </c>
      <c r="D76">
        <f t="shared" si="1"/>
        <v>33.699999999999847</v>
      </c>
      <c r="O76">
        <v>2073</v>
      </c>
      <c r="P76">
        <v>2.6</v>
      </c>
      <c r="Q76">
        <v>1.91</v>
      </c>
    </row>
    <row r="77" spans="1:17" x14ac:dyDescent="0.25">
      <c r="A77">
        <v>2074</v>
      </c>
      <c r="B77">
        <v>71.290000000000006</v>
      </c>
      <c r="C77">
        <v>21.3</v>
      </c>
      <c r="D77">
        <f t="shared" si="1"/>
        <v>33.179999999999843</v>
      </c>
      <c r="O77">
        <v>2074</v>
      </c>
      <c r="P77">
        <v>2.63</v>
      </c>
      <c r="Q77">
        <v>1.91</v>
      </c>
    </row>
    <row r="78" spans="1:17" x14ac:dyDescent="0.25">
      <c r="A78">
        <v>2075</v>
      </c>
      <c r="B78">
        <v>71.38</v>
      </c>
      <c r="C78">
        <v>21.14</v>
      </c>
      <c r="D78">
        <f t="shared" si="1"/>
        <v>32.65999999999984</v>
      </c>
      <c r="O78">
        <v>2075</v>
      </c>
      <c r="P78">
        <v>2.66</v>
      </c>
      <c r="Q78">
        <v>1.91</v>
      </c>
    </row>
    <row r="79" spans="1:17" x14ac:dyDescent="0.25">
      <c r="A79">
        <v>2076</v>
      </c>
      <c r="B79">
        <v>71.459999999999994</v>
      </c>
      <c r="C79">
        <v>20.98</v>
      </c>
      <c r="D79">
        <f t="shared" si="1"/>
        <v>32.139999999999837</v>
      </c>
      <c r="O79">
        <v>2076</v>
      </c>
      <c r="P79">
        <v>2.68</v>
      </c>
      <c r="Q79">
        <v>1.92</v>
      </c>
    </row>
    <row r="80" spans="1:17" x14ac:dyDescent="0.25">
      <c r="A80">
        <v>2077</v>
      </c>
      <c r="B80">
        <v>71.52</v>
      </c>
      <c r="C80">
        <v>20.83</v>
      </c>
      <c r="D80">
        <f t="shared" si="1"/>
        <v>31.619999999999838</v>
      </c>
      <c r="O80">
        <v>2077</v>
      </c>
      <c r="P80">
        <v>2.71</v>
      </c>
      <c r="Q80">
        <v>1.92</v>
      </c>
    </row>
    <row r="81" spans="1:17" x14ac:dyDescent="0.25">
      <c r="A81">
        <v>2078</v>
      </c>
      <c r="B81">
        <v>71.56</v>
      </c>
      <c r="C81">
        <v>20.69</v>
      </c>
      <c r="D81">
        <f t="shared" si="1"/>
        <v>31.099999999999838</v>
      </c>
      <c r="O81">
        <v>2078</v>
      </c>
      <c r="P81">
        <v>2.74</v>
      </c>
      <c r="Q81">
        <v>1.93</v>
      </c>
    </row>
    <row r="82" spans="1:17" x14ac:dyDescent="0.25">
      <c r="A82">
        <v>2079</v>
      </c>
      <c r="B82">
        <v>71.59</v>
      </c>
      <c r="C82">
        <v>20.56</v>
      </c>
      <c r="D82">
        <f t="shared" si="1"/>
        <v>30.579999999999838</v>
      </c>
      <c r="O82">
        <v>2079</v>
      </c>
      <c r="P82">
        <v>2.77</v>
      </c>
      <c r="Q82">
        <v>1.94</v>
      </c>
    </row>
    <row r="83" spans="1:17" x14ac:dyDescent="0.25">
      <c r="A83">
        <v>2080</v>
      </c>
      <c r="B83">
        <v>71.61</v>
      </c>
      <c r="C83">
        <v>20.43</v>
      </c>
      <c r="D83">
        <f t="shared" si="1"/>
        <v>30.059999999999839</v>
      </c>
      <c r="O83">
        <v>2080</v>
      </c>
      <c r="P83">
        <v>2.79</v>
      </c>
      <c r="Q83">
        <v>1.94</v>
      </c>
    </row>
    <row r="84" spans="1:17" x14ac:dyDescent="0.25">
      <c r="A84">
        <v>2081</v>
      </c>
      <c r="B84">
        <v>71.61</v>
      </c>
      <c r="C84">
        <v>20.3</v>
      </c>
      <c r="D84">
        <f t="shared" si="1"/>
        <v>29.539999999999839</v>
      </c>
      <c r="O84">
        <v>2081</v>
      </c>
      <c r="P84">
        <v>2.82</v>
      </c>
      <c r="Q84">
        <v>1.95</v>
      </c>
    </row>
    <row r="85" spans="1:17" x14ac:dyDescent="0.25">
      <c r="A85">
        <v>2082</v>
      </c>
      <c r="B85">
        <v>71.599999999999994</v>
      </c>
      <c r="C85">
        <v>20.190000000000001</v>
      </c>
      <c r="D85">
        <f t="shared" si="1"/>
        <v>29.01999999999984</v>
      </c>
      <c r="O85">
        <v>2082</v>
      </c>
      <c r="P85">
        <v>2.85</v>
      </c>
      <c r="Q85">
        <v>1.95</v>
      </c>
    </row>
    <row r="86" spans="1:17" x14ac:dyDescent="0.25">
      <c r="A86">
        <v>2083</v>
      </c>
      <c r="B86">
        <v>71.58</v>
      </c>
      <c r="C86">
        <v>20.07</v>
      </c>
      <c r="D86">
        <f t="shared" si="1"/>
        <v>28.49999999999984</v>
      </c>
      <c r="O86">
        <v>2083</v>
      </c>
      <c r="P86">
        <v>2.88</v>
      </c>
      <c r="Q86">
        <v>1.96</v>
      </c>
    </row>
    <row r="87" spans="1:17" x14ac:dyDescent="0.25">
      <c r="A87">
        <v>2084</v>
      </c>
      <c r="B87">
        <v>71.55</v>
      </c>
      <c r="C87">
        <v>19.97</v>
      </c>
      <c r="D87">
        <f t="shared" si="1"/>
        <v>27.979999999999841</v>
      </c>
      <c r="O87">
        <v>2084</v>
      </c>
      <c r="P87">
        <v>2.9</v>
      </c>
      <c r="Q87">
        <v>1.96</v>
      </c>
    </row>
    <row r="88" spans="1:17" x14ac:dyDescent="0.25">
      <c r="A88">
        <v>2085</v>
      </c>
      <c r="B88">
        <v>71.510000000000005</v>
      </c>
      <c r="C88">
        <v>19.87</v>
      </c>
      <c r="D88">
        <f t="shared" si="1"/>
        <v>27.459999999999841</v>
      </c>
      <c r="O88">
        <v>2085</v>
      </c>
      <c r="P88">
        <v>2.93</v>
      </c>
      <c r="Q88">
        <v>1.97</v>
      </c>
    </row>
    <row r="89" spans="1:17" x14ac:dyDescent="0.25">
      <c r="A89">
        <v>2086</v>
      </c>
      <c r="B89">
        <v>71.47</v>
      </c>
      <c r="C89">
        <v>19.77</v>
      </c>
      <c r="D89">
        <f t="shared" si="1"/>
        <v>26.939999999999841</v>
      </c>
      <c r="O89">
        <v>2086</v>
      </c>
      <c r="P89">
        <v>2.96</v>
      </c>
      <c r="Q89">
        <v>1.97</v>
      </c>
    </row>
    <row r="90" spans="1:17" x14ac:dyDescent="0.25">
      <c r="A90">
        <v>2087</v>
      </c>
      <c r="B90">
        <v>71.42</v>
      </c>
      <c r="C90">
        <v>19.68</v>
      </c>
      <c r="D90">
        <f t="shared" si="1"/>
        <v>26.419999999999842</v>
      </c>
      <c r="O90">
        <v>2087</v>
      </c>
      <c r="P90">
        <v>2.99</v>
      </c>
      <c r="Q90">
        <v>1.98</v>
      </c>
    </row>
    <row r="91" spans="1:17" x14ac:dyDescent="0.25">
      <c r="A91">
        <v>2088</v>
      </c>
      <c r="B91">
        <v>71.36</v>
      </c>
      <c r="C91">
        <v>19.59</v>
      </c>
      <c r="D91">
        <f t="shared" si="1"/>
        <v>25.899999999999842</v>
      </c>
      <c r="O91">
        <v>2088</v>
      </c>
      <c r="P91">
        <v>3.01</v>
      </c>
      <c r="Q91">
        <v>1.99</v>
      </c>
    </row>
    <row r="92" spans="1:17" x14ac:dyDescent="0.25">
      <c r="A92">
        <v>2089</v>
      </c>
      <c r="B92">
        <v>71.31</v>
      </c>
      <c r="C92">
        <v>19.510000000000002</v>
      </c>
      <c r="D92">
        <f t="shared" si="1"/>
        <v>25.379999999999843</v>
      </c>
      <c r="O92">
        <v>2089</v>
      </c>
      <c r="P92">
        <v>3.04</v>
      </c>
      <c r="Q92">
        <v>1.99</v>
      </c>
    </row>
    <row r="93" spans="1:17" x14ac:dyDescent="0.25">
      <c r="A93">
        <v>2090</v>
      </c>
      <c r="B93">
        <v>71.239999999999995</v>
      </c>
      <c r="C93">
        <v>19.43</v>
      </c>
      <c r="D93">
        <f t="shared" si="1"/>
        <v>24.859999999999843</v>
      </c>
      <c r="O93">
        <v>2090</v>
      </c>
      <c r="P93">
        <v>3.07</v>
      </c>
      <c r="Q93">
        <v>2</v>
      </c>
    </row>
    <row r="94" spans="1:17" x14ac:dyDescent="0.25">
      <c r="A94">
        <v>2091</v>
      </c>
      <c r="B94">
        <v>71.17</v>
      </c>
      <c r="C94">
        <v>19.350000000000001</v>
      </c>
      <c r="D94">
        <f t="shared" si="1"/>
        <v>24.339999999999844</v>
      </c>
      <c r="O94">
        <v>2091</v>
      </c>
      <c r="P94">
        <v>3.09</v>
      </c>
      <c r="Q94">
        <v>2</v>
      </c>
    </row>
    <row r="95" spans="1:17" x14ac:dyDescent="0.25">
      <c r="A95">
        <v>2092</v>
      </c>
      <c r="B95">
        <v>71.099999999999994</v>
      </c>
      <c r="C95">
        <v>19.28</v>
      </c>
      <c r="D95">
        <f t="shared" ref="D95:D103" si="2">D94-0.52</f>
        <v>23.819999999999844</v>
      </c>
      <c r="O95">
        <v>2092</v>
      </c>
      <c r="P95">
        <v>3.12</v>
      </c>
      <c r="Q95">
        <v>2.0099999999999998</v>
      </c>
    </row>
    <row r="96" spans="1:17" x14ac:dyDescent="0.25">
      <c r="A96">
        <v>2093</v>
      </c>
      <c r="B96">
        <v>71.03</v>
      </c>
      <c r="C96">
        <v>19.21</v>
      </c>
      <c r="D96">
        <f t="shared" si="2"/>
        <v>23.299999999999844</v>
      </c>
      <c r="O96">
        <v>2093</v>
      </c>
      <c r="P96">
        <v>3.15</v>
      </c>
      <c r="Q96">
        <v>2.02</v>
      </c>
    </row>
    <row r="97" spans="1:17" x14ac:dyDescent="0.25">
      <c r="A97">
        <v>2094</v>
      </c>
      <c r="B97">
        <v>70.959999999999994</v>
      </c>
      <c r="C97">
        <v>19.149999999999999</v>
      </c>
      <c r="D97">
        <f t="shared" si="2"/>
        <v>22.779999999999845</v>
      </c>
      <c r="O97">
        <v>2094</v>
      </c>
      <c r="P97">
        <v>3.17</v>
      </c>
      <c r="Q97">
        <v>2.02</v>
      </c>
    </row>
    <row r="98" spans="1:17" x14ac:dyDescent="0.25">
      <c r="A98">
        <v>2095</v>
      </c>
      <c r="B98">
        <v>70.88</v>
      </c>
      <c r="C98">
        <v>19.09</v>
      </c>
      <c r="D98">
        <f t="shared" si="2"/>
        <v>22.259999999999845</v>
      </c>
      <c r="O98">
        <v>2095</v>
      </c>
      <c r="P98">
        <v>3.2</v>
      </c>
      <c r="Q98">
        <v>2.0299999999999998</v>
      </c>
    </row>
    <row r="99" spans="1:17" x14ac:dyDescent="0.25">
      <c r="A99">
        <v>2096</v>
      </c>
      <c r="B99">
        <v>70.81</v>
      </c>
      <c r="C99">
        <v>19.03</v>
      </c>
      <c r="D99">
        <f t="shared" si="2"/>
        <v>21.739999999999846</v>
      </c>
      <c r="O99">
        <v>2096</v>
      </c>
      <c r="P99">
        <v>3.22</v>
      </c>
      <c r="Q99">
        <v>2.0299999999999998</v>
      </c>
    </row>
    <row r="100" spans="1:17" x14ac:dyDescent="0.25">
      <c r="A100">
        <v>2097</v>
      </c>
      <c r="B100">
        <v>70.739999999999995</v>
      </c>
      <c r="C100">
        <v>18.97</v>
      </c>
      <c r="D100">
        <f t="shared" si="2"/>
        <v>21.219999999999846</v>
      </c>
      <c r="O100">
        <v>2097</v>
      </c>
      <c r="P100">
        <v>3.25</v>
      </c>
      <c r="Q100">
        <v>2.04</v>
      </c>
    </row>
    <row r="101" spans="1:17" x14ac:dyDescent="0.25">
      <c r="A101">
        <v>2098</v>
      </c>
      <c r="B101">
        <v>70.680000000000007</v>
      </c>
      <c r="C101">
        <v>18.920000000000002</v>
      </c>
      <c r="D101">
        <f t="shared" si="2"/>
        <v>20.699999999999847</v>
      </c>
      <c r="O101">
        <v>2098</v>
      </c>
      <c r="P101">
        <v>3.27</v>
      </c>
      <c r="Q101">
        <v>2.04</v>
      </c>
    </row>
    <row r="102" spans="1:17" x14ac:dyDescent="0.25">
      <c r="A102">
        <v>2099</v>
      </c>
      <c r="B102">
        <v>70.62</v>
      </c>
      <c r="C102">
        <v>18.87</v>
      </c>
      <c r="D102">
        <f t="shared" si="2"/>
        <v>20.179999999999847</v>
      </c>
      <c r="O102">
        <v>2099</v>
      </c>
      <c r="P102">
        <v>3.3</v>
      </c>
      <c r="Q102">
        <v>2.0499999999999998</v>
      </c>
    </row>
    <row r="103" spans="1:17" x14ac:dyDescent="0.25">
      <c r="A103">
        <v>2100</v>
      </c>
      <c r="B103">
        <v>70.569999999999993</v>
      </c>
      <c r="C103">
        <v>18.82</v>
      </c>
      <c r="D103">
        <f t="shared" si="2"/>
        <v>19.659999999999847</v>
      </c>
      <c r="O103">
        <v>2100</v>
      </c>
      <c r="P103">
        <v>3.32</v>
      </c>
      <c r="Q103">
        <v>2.0499999999999998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D701-A248-4E91-A4DA-97CED1BC3DF0}">
  <dimension ref="A1:I43"/>
  <sheetViews>
    <sheetView topLeftCell="B1" workbookViewId="0">
      <selection activeCell="D2" sqref="D2"/>
    </sheetView>
  </sheetViews>
  <sheetFormatPr defaultRowHeight="15" x14ac:dyDescent="0.25"/>
  <cols>
    <col min="1" max="1" width="23.140625" bestFit="1" customWidth="1"/>
    <col min="2" max="2" width="20.7109375" bestFit="1" customWidth="1"/>
    <col min="3" max="3" width="24.85546875" bestFit="1" customWidth="1"/>
    <col min="4" max="6" width="29.7109375" customWidth="1"/>
    <col min="7" max="7" width="18.140625" customWidth="1"/>
    <col min="8" max="8" width="29.7109375" bestFit="1" customWidth="1"/>
    <col min="9" max="9" width="29.140625" customWidth="1"/>
  </cols>
  <sheetData>
    <row r="1" spans="1:9" x14ac:dyDescent="0.25">
      <c r="A1" s="1" t="s">
        <v>33</v>
      </c>
      <c r="B1" s="2" t="s">
        <v>32</v>
      </c>
      <c r="C1" s="1" t="s">
        <v>49</v>
      </c>
      <c r="D1" s="1" t="s">
        <v>35</v>
      </c>
      <c r="E1" s="3" t="s">
        <v>37</v>
      </c>
      <c r="F1" s="3" t="s">
        <v>50</v>
      </c>
      <c r="G1" s="1" t="s">
        <v>34</v>
      </c>
      <c r="H1" s="1" t="s">
        <v>31</v>
      </c>
      <c r="I1" s="1" t="s">
        <v>51</v>
      </c>
    </row>
    <row r="2" spans="1:9" x14ac:dyDescent="0.25">
      <c r="A2" s="8" t="s">
        <v>24</v>
      </c>
      <c r="B2" s="9" t="s">
        <v>30</v>
      </c>
      <c r="C2" s="8" t="s">
        <v>36</v>
      </c>
      <c r="D2" s="8">
        <v>24.91</v>
      </c>
      <c r="E2" s="10">
        <v>25.17</v>
      </c>
      <c r="F2" s="6">
        <f>(E2-D2)/D2</f>
        <v>1.0437575270975575E-2</v>
      </c>
      <c r="G2" s="8">
        <v>70.569999999999993</v>
      </c>
      <c r="H2" s="8">
        <v>69.349999999999994</v>
      </c>
      <c r="I2" s="7">
        <f>(H2-G2)/G2</f>
        <v>-1.7287799348164927E-2</v>
      </c>
    </row>
    <row r="3" spans="1:9" x14ac:dyDescent="0.25">
      <c r="A3" s="8" t="s">
        <v>24</v>
      </c>
      <c r="B3" s="9" t="s">
        <v>29</v>
      </c>
      <c r="C3" s="8" t="s">
        <v>38</v>
      </c>
      <c r="D3" s="8">
        <v>24.91</v>
      </c>
      <c r="E3" s="10">
        <v>24.99</v>
      </c>
      <c r="F3" s="6">
        <f t="shared" ref="F3:F21" si="0">(E3-D3)/D3</f>
        <v>3.2115616218385506E-3</v>
      </c>
      <c r="G3" s="8">
        <v>70.569999999999993</v>
      </c>
      <c r="H3" s="8">
        <v>70.23</v>
      </c>
      <c r="I3" s="7">
        <f t="shared" ref="I3:I21" si="1">(H3-G3)/G3</f>
        <v>-4.8179112937507332E-3</v>
      </c>
    </row>
    <row r="4" spans="1:9" x14ac:dyDescent="0.25">
      <c r="A4" s="8" t="s">
        <v>24</v>
      </c>
      <c r="B4" s="9" t="s">
        <v>28</v>
      </c>
      <c r="C4" s="8" t="s">
        <v>39</v>
      </c>
      <c r="D4" s="8">
        <v>24.91</v>
      </c>
      <c r="E4" s="10">
        <v>24.98</v>
      </c>
      <c r="F4" s="6">
        <f t="shared" si="0"/>
        <v>2.8101164191088029E-3</v>
      </c>
      <c r="G4" s="8">
        <v>70.569999999999993</v>
      </c>
      <c r="H4" s="8">
        <v>70.53</v>
      </c>
      <c r="I4" s="7">
        <f t="shared" si="1"/>
        <v>-5.6681309338234439E-4</v>
      </c>
    </row>
    <row r="5" spans="1:9" x14ac:dyDescent="0.25">
      <c r="A5" s="8" t="s">
        <v>24</v>
      </c>
      <c r="B5" s="9" t="s">
        <v>27</v>
      </c>
      <c r="C5" s="11" t="s">
        <v>40</v>
      </c>
      <c r="D5" s="8">
        <v>24.91</v>
      </c>
      <c r="E5" s="10">
        <v>24.79</v>
      </c>
      <c r="F5" s="6">
        <f t="shared" si="0"/>
        <v>-4.8173424327579688E-3</v>
      </c>
      <c r="G5" s="8">
        <v>70.569999999999993</v>
      </c>
      <c r="H5" s="8">
        <v>67.489999999999995</v>
      </c>
      <c r="I5" s="7">
        <f t="shared" si="1"/>
        <v>-4.3644608190449179E-2</v>
      </c>
    </row>
    <row r="6" spans="1:9" x14ac:dyDescent="0.25">
      <c r="A6" s="8" t="s">
        <v>24</v>
      </c>
      <c r="B6" s="9" t="s">
        <v>26</v>
      </c>
      <c r="C6" s="11" t="s">
        <v>41</v>
      </c>
      <c r="D6" s="8">
        <v>24.91</v>
      </c>
      <c r="E6" s="10">
        <v>24.98</v>
      </c>
      <c r="F6" s="6">
        <f t="shared" si="0"/>
        <v>2.8101164191088029E-3</v>
      </c>
      <c r="G6" s="8">
        <v>70.569999999999993</v>
      </c>
      <c r="H6" s="8">
        <v>69.900000000000006</v>
      </c>
      <c r="I6" s="7">
        <f t="shared" si="1"/>
        <v>-9.4941193141559813E-3</v>
      </c>
    </row>
    <row r="7" spans="1:9" x14ac:dyDescent="0.25">
      <c r="A7" s="8" t="s">
        <v>24</v>
      </c>
      <c r="B7" s="9" t="s">
        <v>26</v>
      </c>
      <c r="C7" s="11" t="s">
        <v>42</v>
      </c>
      <c r="D7" s="8">
        <v>24.91</v>
      </c>
      <c r="E7" s="10">
        <v>24.93</v>
      </c>
      <c r="F7" s="6">
        <f t="shared" si="0"/>
        <v>8.0289040545963766E-4</v>
      </c>
      <c r="G7" s="8">
        <v>70.569999999999993</v>
      </c>
      <c r="H7" s="8">
        <v>71.06</v>
      </c>
      <c r="I7" s="7">
        <f t="shared" si="1"/>
        <v>6.9434603939352293E-3</v>
      </c>
    </row>
    <row r="8" spans="1:9" x14ac:dyDescent="0.25">
      <c r="A8" s="12" t="s">
        <v>24</v>
      </c>
      <c r="B8" s="13" t="s">
        <v>25</v>
      </c>
      <c r="C8" s="12"/>
      <c r="D8" s="12">
        <v>0</v>
      </c>
      <c r="E8" s="14"/>
      <c r="F8" s="6" t="s">
        <v>52</v>
      </c>
      <c r="G8" s="12">
        <v>70.569999999999993</v>
      </c>
      <c r="H8" s="12">
        <v>0</v>
      </c>
      <c r="I8" s="7">
        <v>0</v>
      </c>
    </row>
    <row r="9" spans="1:9" x14ac:dyDescent="0.25">
      <c r="A9" s="8" t="s">
        <v>24</v>
      </c>
      <c r="B9" s="9" t="s">
        <v>23</v>
      </c>
      <c r="C9" s="8" t="s">
        <v>43</v>
      </c>
      <c r="D9" s="8">
        <v>24.91</v>
      </c>
      <c r="E9" s="10">
        <v>25.05</v>
      </c>
      <c r="F9" s="6">
        <f t="shared" si="0"/>
        <v>5.6202328382176057E-3</v>
      </c>
      <c r="G9" s="8">
        <v>70.569999999999993</v>
      </c>
      <c r="H9" s="8">
        <v>70.2</v>
      </c>
      <c r="I9" s="7">
        <f t="shared" si="1"/>
        <v>-5.2430211137875918E-3</v>
      </c>
    </row>
    <row r="10" spans="1:9" x14ac:dyDescent="0.25">
      <c r="A10" s="12" t="s">
        <v>22</v>
      </c>
      <c r="B10" s="13" t="s">
        <v>21</v>
      </c>
      <c r="C10" s="12"/>
      <c r="D10" s="12">
        <v>0</v>
      </c>
      <c r="E10" s="14"/>
      <c r="F10" s="6" t="s">
        <v>52</v>
      </c>
      <c r="G10" s="12">
        <v>70.569999999999993</v>
      </c>
      <c r="H10" s="12">
        <v>0</v>
      </c>
      <c r="I10" s="7">
        <v>0</v>
      </c>
    </row>
    <row r="11" spans="1:9" x14ac:dyDescent="0.25">
      <c r="A11" s="8" t="s">
        <v>22</v>
      </c>
      <c r="B11" s="9" t="s">
        <v>19</v>
      </c>
      <c r="C11" s="8" t="s">
        <v>44</v>
      </c>
      <c r="D11" s="8">
        <v>24.91</v>
      </c>
      <c r="E11" s="10">
        <v>24.78</v>
      </c>
      <c r="F11" s="6">
        <f t="shared" si="0"/>
        <v>-5.2187876354877162E-3</v>
      </c>
      <c r="G11" s="8">
        <v>70.569999999999993</v>
      </c>
      <c r="H11" s="8">
        <v>69.72</v>
      </c>
      <c r="I11" s="7">
        <f t="shared" si="1"/>
        <v>-1.2044778234377135E-2</v>
      </c>
    </row>
    <row r="12" spans="1:9" x14ac:dyDescent="0.25">
      <c r="A12" s="12" t="s">
        <v>20</v>
      </c>
      <c r="B12" s="13" t="s">
        <v>21</v>
      </c>
      <c r="C12" s="12"/>
      <c r="D12" s="12">
        <v>0</v>
      </c>
      <c r="E12" s="14"/>
      <c r="F12" s="6" t="s">
        <v>52</v>
      </c>
      <c r="G12" s="12">
        <v>70.569999999999993</v>
      </c>
      <c r="H12" s="12">
        <v>0</v>
      </c>
      <c r="I12" s="7">
        <v>0</v>
      </c>
    </row>
    <row r="13" spans="1:9" x14ac:dyDescent="0.25">
      <c r="A13" s="8" t="s">
        <v>20</v>
      </c>
      <c r="B13" s="9" t="s">
        <v>19</v>
      </c>
      <c r="C13" s="8" t="s">
        <v>44</v>
      </c>
      <c r="D13" s="8">
        <v>24.91</v>
      </c>
      <c r="E13" s="10">
        <v>24.97</v>
      </c>
      <c r="F13" s="6">
        <f t="shared" si="0"/>
        <v>2.4086712163789129E-3</v>
      </c>
      <c r="G13" s="8">
        <v>70.569999999999993</v>
      </c>
      <c r="H13" s="8">
        <v>70.3</v>
      </c>
      <c r="I13" s="7">
        <f t="shared" si="1"/>
        <v>-3.8259883803315295E-3</v>
      </c>
    </row>
    <row r="14" spans="1:9" x14ac:dyDescent="0.25">
      <c r="A14" s="8" t="s">
        <v>18</v>
      </c>
      <c r="B14" s="9" t="s">
        <v>18</v>
      </c>
      <c r="C14" s="8" t="s">
        <v>45</v>
      </c>
      <c r="D14" s="8">
        <v>24.91</v>
      </c>
      <c r="E14" s="10">
        <v>25.46</v>
      </c>
      <c r="F14" s="6">
        <f t="shared" si="0"/>
        <v>2.2079486150140534E-2</v>
      </c>
      <c r="G14" s="8">
        <v>70.569999999999993</v>
      </c>
      <c r="H14" s="8">
        <v>68.77</v>
      </c>
      <c r="I14" s="7">
        <f t="shared" si="1"/>
        <v>-2.5506589202210533E-2</v>
      </c>
    </row>
    <row r="15" spans="1:9" x14ac:dyDescent="0.25">
      <c r="A15" s="8" t="s">
        <v>16</v>
      </c>
      <c r="B15" s="9" t="s">
        <v>17</v>
      </c>
      <c r="C15" s="8" t="s">
        <v>46</v>
      </c>
      <c r="D15" s="8">
        <v>24.91</v>
      </c>
      <c r="E15" s="10">
        <v>24.9</v>
      </c>
      <c r="F15" s="6">
        <f t="shared" si="0"/>
        <v>-4.0144520272989012E-4</v>
      </c>
      <c r="G15" s="8">
        <v>70.569999999999993</v>
      </c>
      <c r="H15" s="8">
        <v>69.75</v>
      </c>
      <c r="I15" s="7">
        <f t="shared" si="1"/>
        <v>-1.1619668414340275E-2</v>
      </c>
    </row>
    <row r="16" spans="1:9" x14ac:dyDescent="0.25">
      <c r="A16" s="8" t="s">
        <v>16</v>
      </c>
      <c r="B16" s="9" t="s">
        <v>15</v>
      </c>
      <c r="C16" s="8" t="s">
        <v>46</v>
      </c>
      <c r="D16" s="8">
        <v>24.91</v>
      </c>
      <c r="E16" s="10">
        <v>24.9</v>
      </c>
      <c r="F16" s="6">
        <f t="shared" si="0"/>
        <v>-4.0144520272989012E-4</v>
      </c>
      <c r="G16" s="8">
        <v>70.569999999999993</v>
      </c>
      <c r="H16" s="8">
        <v>70.3</v>
      </c>
      <c r="I16" s="7">
        <f t="shared" si="1"/>
        <v>-3.8259883803315295E-3</v>
      </c>
    </row>
    <row r="17" spans="1:9" x14ac:dyDescent="0.25">
      <c r="A17" s="8" t="s">
        <v>13</v>
      </c>
      <c r="B17" s="9" t="s">
        <v>14</v>
      </c>
      <c r="C17" s="8" t="s">
        <v>47</v>
      </c>
      <c r="D17" s="8">
        <v>24.91</v>
      </c>
      <c r="E17" s="10">
        <v>24.91</v>
      </c>
      <c r="F17" s="6">
        <f t="shared" si="0"/>
        <v>0</v>
      </c>
      <c r="G17" s="8">
        <v>70.569999999999993</v>
      </c>
      <c r="H17" s="8">
        <v>70.209999999999994</v>
      </c>
      <c r="I17" s="7">
        <f t="shared" si="1"/>
        <v>-5.1013178404421067E-3</v>
      </c>
    </row>
    <row r="18" spans="1:9" x14ac:dyDescent="0.25">
      <c r="A18" s="8" t="s">
        <v>13</v>
      </c>
      <c r="B18" s="9" t="s">
        <v>12</v>
      </c>
      <c r="C18" s="8" t="s">
        <v>47</v>
      </c>
      <c r="D18" s="8">
        <v>24.91</v>
      </c>
      <c r="E18" s="10">
        <v>24.91</v>
      </c>
      <c r="F18" s="6">
        <f t="shared" si="0"/>
        <v>0</v>
      </c>
      <c r="G18" s="8">
        <v>70.569999999999993</v>
      </c>
      <c r="H18" s="8">
        <v>69.39</v>
      </c>
      <c r="I18" s="7">
        <f t="shared" si="1"/>
        <v>-1.6720986254782383E-2</v>
      </c>
    </row>
    <row r="19" spans="1:9" x14ac:dyDescent="0.25">
      <c r="A19" s="8" t="s">
        <v>10</v>
      </c>
      <c r="B19" s="9" t="s">
        <v>11</v>
      </c>
      <c r="C19" s="8" t="s">
        <v>47</v>
      </c>
      <c r="D19" s="8">
        <v>24.91</v>
      </c>
      <c r="E19" s="10">
        <v>24.91</v>
      </c>
      <c r="F19" s="6">
        <f t="shared" si="0"/>
        <v>0</v>
      </c>
      <c r="G19" s="8">
        <v>70.569999999999993</v>
      </c>
      <c r="H19" s="8">
        <v>69.39</v>
      </c>
      <c r="I19" s="7">
        <f t="shared" si="1"/>
        <v>-1.6720986254782383E-2</v>
      </c>
    </row>
    <row r="20" spans="1:9" x14ac:dyDescent="0.25">
      <c r="A20" s="12" t="s">
        <v>10</v>
      </c>
      <c r="B20" s="13" t="s">
        <v>9</v>
      </c>
      <c r="C20" s="12"/>
      <c r="D20" s="12">
        <v>0</v>
      </c>
      <c r="E20" s="14"/>
      <c r="F20" s="6" t="s">
        <v>52</v>
      </c>
      <c r="G20" s="12">
        <v>70.569999999999993</v>
      </c>
      <c r="H20" s="12">
        <v>0</v>
      </c>
      <c r="I20" s="7">
        <v>0</v>
      </c>
    </row>
    <row r="21" spans="1:9" x14ac:dyDescent="0.25">
      <c r="A21" s="8" t="s">
        <v>8</v>
      </c>
      <c r="B21" s="9" t="s">
        <v>7</v>
      </c>
      <c r="C21" s="15" t="s">
        <v>53</v>
      </c>
      <c r="D21" s="8">
        <v>24.91</v>
      </c>
      <c r="E21" s="10">
        <v>25.66</v>
      </c>
      <c r="F21" s="6">
        <f t="shared" si="0"/>
        <v>3.0108390204737052E-2</v>
      </c>
      <c r="G21" s="8">
        <v>70.569999999999993</v>
      </c>
      <c r="H21" s="8">
        <v>66.010000000000005</v>
      </c>
      <c r="I21" s="7">
        <f t="shared" si="1"/>
        <v>-6.4616692645599952E-2</v>
      </c>
    </row>
    <row r="25" spans="1:9" x14ac:dyDescent="0.25">
      <c r="A25" s="4" t="s">
        <v>48</v>
      </c>
    </row>
    <row r="27" spans="1:9" x14ac:dyDescent="0.25">
      <c r="B27" s="1" t="s">
        <v>32</v>
      </c>
      <c r="C27" s="1" t="s">
        <v>49</v>
      </c>
      <c r="D27" s="5" t="s">
        <v>50</v>
      </c>
      <c r="E27" s="5" t="s">
        <v>51</v>
      </c>
    </row>
    <row r="28" spans="1:9" x14ac:dyDescent="0.25">
      <c r="B28" s="8" t="s">
        <v>30</v>
      </c>
      <c r="C28" s="8" t="s">
        <v>36</v>
      </c>
      <c r="D28" s="16">
        <v>1.0437575270975575E-2</v>
      </c>
      <c r="E28" s="16">
        <v>-1.7287799348164927E-2</v>
      </c>
    </row>
    <row r="29" spans="1:9" x14ac:dyDescent="0.25">
      <c r="B29" s="8" t="s">
        <v>29</v>
      </c>
      <c r="C29" s="8" t="s">
        <v>38</v>
      </c>
      <c r="D29" s="16">
        <v>3.2115616218385506E-3</v>
      </c>
      <c r="E29" s="16">
        <v>-4.8179112937507332E-3</v>
      </c>
    </row>
    <row r="30" spans="1:9" x14ac:dyDescent="0.25">
      <c r="B30" s="8" t="s">
        <v>28</v>
      </c>
      <c r="C30" s="8" t="s">
        <v>39</v>
      </c>
      <c r="D30" s="16">
        <v>2.8101164191088029E-3</v>
      </c>
      <c r="E30" s="16">
        <v>-5.6681309338234439E-4</v>
      </c>
    </row>
    <row r="31" spans="1:9" x14ac:dyDescent="0.25">
      <c r="B31" s="8" t="s">
        <v>27</v>
      </c>
      <c r="C31" s="11" t="s">
        <v>40</v>
      </c>
      <c r="D31" s="16">
        <v>-4.8173424327579688E-3</v>
      </c>
      <c r="E31" s="16">
        <v>-4.3644608190449179E-2</v>
      </c>
    </row>
    <row r="32" spans="1:9" x14ac:dyDescent="0.25">
      <c r="B32" s="8" t="s">
        <v>26</v>
      </c>
      <c r="C32" s="11" t="s">
        <v>41</v>
      </c>
      <c r="D32" s="16">
        <v>2.8101164191088029E-3</v>
      </c>
      <c r="E32" s="16">
        <v>-9.4941193141559813E-3</v>
      </c>
    </row>
    <row r="33" spans="2:5" x14ac:dyDescent="0.25">
      <c r="B33" s="8" t="s">
        <v>26</v>
      </c>
      <c r="C33" s="11" t="s">
        <v>42</v>
      </c>
      <c r="D33" s="16">
        <v>8.0289040545963766E-4</v>
      </c>
      <c r="E33" s="16">
        <v>6.9434603939352293E-3</v>
      </c>
    </row>
    <row r="34" spans="2:5" x14ac:dyDescent="0.25">
      <c r="B34" s="8" t="s">
        <v>23</v>
      </c>
      <c r="C34" s="8" t="s">
        <v>43</v>
      </c>
      <c r="D34" s="16">
        <v>5.6202328382176057E-3</v>
      </c>
      <c r="E34" s="16">
        <v>-5.2430211137875918E-3</v>
      </c>
    </row>
    <row r="35" spans="2:5" x14ac:dyDescent="0.25">
      <c r="B35" s="8" t="s">
        <v>19</v>
      </c>
      <c r="C35" s="8" t="s">
        <v>44</v>
      </c>
      <c r="D35" s="16">
        <v>-5.2187876354877162E-3</v>
      </c>
      <c r="E35" s="16">
        <v>-1.2044778234377135E-2</v>
      </c>
    </row>
    <row r="36" spans="2:5" x14ac:dyDescent="0.25">
      <c r="B36" s="8" t="s">
        <v>19</v>
      </c>
      <c r="C36" s="8" t="s">
        <v>44</v>
      </c>
      <c r="D36" s="16">
        <v>2.4086712163789129E-3</v>
      </c>
      <c r="E36" s="16">
        <v>-3.8259883803315295E-3</v>
      </c>
    </row>
    <row r="37" spans="2:5" x14ac:dyDescent="0.25">
      <c r="B37" s="8" t="s">
        <v>18</v>
      </c>
      <c r="C37" s="8" t="s">
        <v>45</v>
      </c>
      <c r="D37" s="16">
        <v>2.2079486150140534E-2</v>
      </c>
      <c r="E37" s="16">
        <v>-2.5506589202210533E-2</v>
      </c>
    </row>
    <row r="38" spans="2:5" x14ac:dyDescent="0.25">
      <c r="B38" s="8" t="s">
        <v>17</v>
      </c>
      <c r="C38" s="8" t="s">
        <v>46</v>
      </c>
      <c r="D38" s="16">
        <v>-4.0144520272989012E-4</v>
      </c>
      <c r="E38" s="16">
        <v>-1.1619668414340275E-2</v>
      </c>
    </row>
    <row r="39" spans="2:5" x14ac:dyDescent="0.25">
      <c r="B39" s="8" t="s">
        <v>15</v>
      </c>
      <c r="C39" s="8" t="s">
        <v>46</v>
      </c>
      <c r="D39" s="16">
        <v>-4.0144520272989012E-4</v>
      </c>
      <c r="E39" s="16">
        <v>-3.8259883803315295E-3</v>
      </c>
    </row>
    <row r="40" spans="2:5" x14ac:dyDescent="0.25">
      <c r="B40" s="8" t="s">
        <v>14</v>
      </c>
      <c r="C40" s="8" t="s">
        <v>47</v>
      </c>
      <c r="D40" s="16">
        <v>0</v>
      </c>
      <c r="E40" s="16">
        <v>-5.1013178404421067E-3</v>
      </c>
    </row>
    <row r="41" spans="2:5" x14ac:dyDescent="0.25">
      <c r="B41" s="8" t="s">
        <v>12</v>
      </c>
      <c r="C41" s="8" t="s">
        <v>47</v>
      </c>
      <c r="D41" s="16">
        <v>0</v>
      </c>
      <c r="E41" s="16">
        <v>-1.6720986254782383E-2</v>
      </c>
    </row>
    <row r="42" spans="2:5" x14ac:dyDescent="0.25">
      <c r="B42" s="8" t="s">
        <v>11</v>
      </c>
      <c r="C42" s="8" t="s">
        <v>47</v>
      </c>
      <c r="D42" s="16">
        <v>0</v>
      </c>
      <c r="E42" s="16">
        <v>-1.6720986254782383E-2</v>
      </c>
    </row>
    <row r="43" spans="2:5" x14ac:dyDescent="0.25">
      <c r="B43" s="8" t="s">
        <v>7</v>
      </c>
      <c r="C43" s="15" t="s">
        <v>53</v>
      </c>
      <c r="D43" s="16">
        <v>3.0108390204737052E-2</v>
      </c>
      <c r="E43" s="16">
        <v>-6.4616692645599952E-2</v>
      </c>
    </row>
  </sheetData>
  <conditionalFormatting sqref="I1">
    <cfRule type="colorScale" priority="1">
      <colorScale>
        <cfvo type="min"/>
        <cfvo type="max"/>
        <color theme="9"/>
        <color rgb="FFFF0000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873F-48C2-4395-8503-9B0AB56B4127}">
  <dimension ref="A1:A41"/>
  <sheetViews>
    <sheetView workbookViewId="0">
      <selection sqref="A1:A1048576"/>
    </sheetView>
  </sheetViews>
  <sheetFormatPr defaultRowHeight="15" x14ac:dyDescent="0.25"/>
  <cols>
    <col min="1" max="1" width="27.42578125" bestFit="1" customWidth="1"/>
  </cols>
  <sheetData>
    <row r="1" spans="1:1" x14ac:dyDescent="0.25">
      <c r="A1" t="s">
        <v>56</v>
      </c>
    </row>
    <row r="2" spans="1:1" x14ac:dyDescent="0.25">
      <c r="A2">
        <v>-0.02</v>
      </c>
    </row>
    <row r="3" spans="1:1" x14ac:dyDescent="0.25">
      <c r="A3">
        <v>-0.02</v>
      </c>
    </row>
    <row r="4" spans="1:1" x14ac:dyDescent="0.25">
      <c r="A4">
        <v>-0.02</v>
      </c>
    </row>
    <row r="5" spans="1:1" x14ac:dyDescent="0.25">
      <c r="A5">
        <v>-0.04</v>
      </c>
    </row>
    <row r="6" spans="1:1" x14ac:dyDescent="0.25">
      <c r="A6">
        <v>-0.02</v>
      </c>
    </row>
    <row r="7" spans="1:1" x14ac:dyDescent="0.25">
      <c r="A7">
        <v>-0.02</v>
      </c>
    </row>
    <row r="8" spans="1:1" x14ac:dyDescent="0.25">
      <c r="A8">
        <v>0</v>
      </c>
    </row>
    <row r="9" spans="1:1" x14ac:dyDescent="0.25">
      <c r="A9">
        <v>-0.02</v>
      </c>
    </row>
    <row r="10" spans="1:1" x14ac:dyDescent="0.25">
      <c r="A10">
        <v>0</v>
      </c>
    </row>
    <row r="11" spans="1:1" x14ac:dyDescent="0.25">
      <c r="A11">
        <v>-0.02</v>
      </c>
    </row>
    <row r="12" spans="1:1" x14ac:dyDescent="0.25">
      <c r="A12">
        <v>-0.04</v>
      </c>
    </row>
    <row r="13" spans="1:1" x14ac:dyDescent="0.25">
      <c r="A13">
        <v>-0.04</v>
      </c>
    </row>
    <row r="14" spans="1:1" x14ac:dyDescent="0.25">
      <c r="A14">
        <v>-0.04</v>
      </c>
    </row>
    <row r="15" spans="1:1" x14ac:dyDescent="0.25">
      <c r="A15">
        <v>0</v>
      </c>
    </row>
    <row r="16" spans="1:1" x14ac:dyDescent="0.25">
      <c r="A16">
        <v>-0.02</v>
      </c>
    </row>
    <row r="17" spans="1:1" x14ac:dyDescent="0.25">
      <c r="A17">
        <v>0</v>
      </c>
    </row>
    <row r="18" spans="1:1" x14ac:dyDescent="0.25">
      <c r="A18">
        <v>-0.04</v>
      </c>
    </row>
    <row r="19" spans="1:1" x14ac:dyDescent="0.25">
      <c r="A19">
        <v>-0.04</v>
      </c>
    </row>
    <row r="20" spans="1:1" x14ac:dyDescent="0.25">
      <c r="A20">
        <v>0</v>
      </c>
    </row>
    <row r="21" spans="1:1" x14ac:dyDescent="0.25">
      <c r="A21">
        <v>-0.04</v>
      </c>
    </row>
    <row r="22" spans="1:1" x14ac:dyDescent="0.25">
      <c r="A22">
        <v>0</v>
      </c>
    </row>
    <row r="23" spans="1:1" x14ac:dyDescent="0.25">
      <c r="A23">
        <v>-0.02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-0.04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-0.02</v>
      </c>
    </row>
    <row r="32" spans="1:1" x14ac:dyDescent="0.25">
      <c r="A32">
        <v>0</v>
      </c>
    </row>
    <row r="33" spans="1:1" x14ac:dyDescent="0.25">
      <c r="A33">
        <v>-0.02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-0.02</v>
      </c>
    </row>
    <row r="38" spans="1:1" x14ac:dyDescent="0.25">
      <c r="A38">
        <v>-0.02</v>
      </c>
    </row>
    <row r="39" spans="1:1" x14ac:dyDescent="0.25">
      <c r="A39">
        <v>0</v>
      </c>
    </row>
    <row r="40" spans="1:1" x14ac:dyDescent="0.25">
      <c r="A40">
        <v>-0.04</v>
      </c>
    </row>
    <row r="41" spans="1:1" x14ac:dyDescent="0.25">
      <c r="A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2133-1E4A-4FA4-9361-0FC6FD26EFA3}">
  <dimension ref="A1:T30"/>
  <sheetViews>
    <sheetView workbookViewId="0">
      <selection activeCell="T8" sqref="T8"/>
    </sheetView>
  </sheetViews>
  <sheetFormatPr defaultRowHeight="15" x14ac:dyDescent="0.25"/>
  <sheetData>
    <row r="1" spans="1:20" x14ac:dyDescent="0.25">
      <c r="A1" s="18" t="s">
        <v>62</v>
      </c>
      <c r="B1" s="18" t="s">
        <v>56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55</v>
      </c>
      <c r="H1" s="18" t="s">
        <v>57</v>
      </c>
      <c r="I1" s="18" t="s">
        <v>60</v>
      </c>
      <c r="J1" s="18" t="s">
        <v>67</v>
      </c>
      <c r="K1" s="18" t="s">
        <v>68</v>
      </c>
      <c r="L1" s="18" t="s">
        <v>99</v>
      </c>
      <c r="M1" s="22" t="s">
        <v>100</v>
      </c>
      <c r="N1" s="22" t="s">
        <v>101</v>
      </c>
      <c r="O1" s="22" t="s">
        <v>102</v>
      </c>
      <c r="P1" s="18" t="s">
        <v>103</v>
      </c>
      <c r="Q1" s="18" t="s">
        <v>104</v>
      </c>
      <c r="R1" s="18" t="s">
        <v>105</v>
      </c>
      <c r="S1" s="18" t="s">
        <v>106</v>
      </c>
      <c r="T1" s="18" t="s">
        <v>107</v>
      </c>
    </row>
    <row r="2" spans="1:20" x14ac:dyDescent="0.25">
      <c r="A2" s="24">
        <v>100</v>
      </c>
      <c r="B2" s="24">
        <v>0.02</v>
      </c>
      <c r="C2" s="24">
        <v>-14</v>
      </c>
      <c r="D2" s="24">
        <v>-7.0000000000000007E-2</v>
      </c>
      <c r="E2" s="24">
        <v>5</v>
      </c>
      <c r="F2" s="24">
        <v>0</v>
      </c>
      <c r="G2" s="24">
        <v>0</v>
      </c>
      <c r="H2" s="24">
        <v>50</v>
      </c>
      <c r="I2" s="24">
        <v>0</v>
      </c>
      <c r="J2" s="24">
        <v>-10</v>
      </c>
      <c r="K2" s="24">
        <v>0</v>
      </c>
      <c r="L2" s="24">
        <v>0</v>
      </c>
      <c r="M2" s="17">
        <v>0</v>
      </c>
      <c r="N2" s="17">
        <v>100</v>
      </c>
      <c r="O2" s="8">
        <v>70.569999999999993</v>
      </c>
      <c r="P2" s="17">
        <v>43.95</v>
      </c>
      <c r="Q2" s="25">
        <f>(P2-O2)/O2</f>
        <v>-0.37721411364602514</v>
      </c>
      <c r="R2" s="8">
        <v>24.91</v>
      </c>
      <c r="S2" s="17">
        <v>29.41</v>
      </c>
      <c r="T2" s="25">
        <f>(S2-R2)/R2</f>
        <v>0.18065034122842233</v>
      </c>
    </row>
    <row r="3" spans="1:20" x14ac:dyDescent="0.25">
      <c r="A3" s="24">
        <v>0</v>
      </c>
      <c r="B3" s="24">
        <v>-0.05</v>
      </c>
      <c r="C3" s="24">
        <v>85</v>
      </c>
      <c r="D3" s="24">
        <v>0</v>
      </c>
      <c r="E3" s="24">
        <v>5</v>
      </c>
      <c r="F3" s="24">
        <v>-25</v>
      </c>
      <c r="G3" s="24">
        <v>5</v>
      </c>
      <c r="H3" s="24">
        <v>50</v>
      </c>
      <c r="I3" s="24">
        <v>50</v>
      </c>
      <c r="J3" s="24">
        <v>0</v>
      </c>
      <c r="K3" s="24">
        <v>0</v>
      </c>
      <c r="L3" s="24">
        <v>100</v>
      </c>
      <c r="M3" s="17">
        <v>50</v>
      </c>
      <c r="N3" s="17">
        <v>50</v>
      </c>
      <c r="O3" s="8">
        <v>70.569999999999993</v>
      </c>
      <c r="P3" s="17">
        <v>48.3</v>
      </c>
      <c r="Q3" s="25">
        <f t="shared" ref="Q3:Q30" si="0">(P3-O3)/O3</f>
        <v>-0.31557318974068299</v>
      </c>
      <c r="R3" s="8">
        <v>24.91</v>
      </c>
      <c r="S3" s="17">
        <v>27.06</v>
      </c>
      <c r="T3" s="25">
        <f t="shared" ref="T3:T30" si="1">(S3-R3)/R3</f>
        <v>8.6310718586912832E-2</v>
      </c>
    </row>
    <row r="4" spans="1:20" x14ac:dyDescent="0.25">
      <c r="A4" s="24">
        <v>0</v>
      </c>
      <c r="B4" s="24">
        <v>0.02</v>
      </c>
      <c r="C4" s="24">
        <v>-14</v>
      </c>
      <c r="D4" s="24">
        <v>-7.0000000000000007E-2</v>
      </c>
      <c r="E4" s="24">
        <v>-0.7</v>
      </c>
      <c r="F4" s="24">
        <v>-25</v>
      </c>
      <c r="G4" s="24">
        <v>247</v>
      </c>
      <c r="H4" s="24">
        <v>50</v>
      </c>
      <c r="I4" s="24">
        <v>0</v>
      </c>
      <c r="J4" s="24">
        <v>0</v>
      </c>
      <c r="K4" s="24">
        <v>0</v>
      </c>
      <c r="L4" s="24">
        <v>100</v>
      </c>
      <c r="M4" s="17">
        <v>100</v>
      </c>
      <c r="N4" s="17">
        <v>0</v>
      </c>
      <c r="O4" s="8">
        <v>70.569999999999993</v>
      </c>
      <c r="P4" s="17">
        <v>28.8</v>
      </c>
      <c r="Q4" s="25">
        <f t="shared" si="0"/>
        <v>-0.59189457276463087</v>
      </c>
      <c r="R4" s="8">
        <v>24.91</v>
      </c>
      <c r="S4" s="17">
        <v>30.74</v>
      </c>
      <c r="T4" s="25">
        <f t="shared" si="1"/>
        <v>0.23404255319148928</v>
      </c>
    </row>
    <row r="5" spans="1:20" x14ac:dyDescent="0.25">
      <c r="A5" s="24">
        <v>-15</v>
      </c>
      <c r="B5" s="24">
        <v>-0.05</v>
      </c>
      <c r="C5" s="24">
        <v>85</v>
      </c>
      <c r="D5" s="24">
        <v>0</v>
      </c>
      <c r="E5" s="24">
        <v>5</v>
      </c>
      <c r="F5" s="24">
        <v>25</v>
      </c>
      <c r="G5" s="24">
        <v>247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17">
        <v>0</v>
      </c>
      <c r="N5" s="17">
        <v>100</v>
      </c>
      <c r="O5" s="8">
        <v>70.569999999999993</v>
      </c>
      <c r="P5" s="17">
        <v>27.06</v>
      </c>
      <c r="Q5" s="25">
        <f t="shared" si="0"/>
        <v>-0.61655094232676766</v>
      </c>
      <c r="R5" s="8">
        <v>24.91</v>
      </c>
      <c r="S5" s="17">
        <v>32.49</v>
      </c>
      <c r="T5" s="25">
        <f t="shared" si="1"/>
        <v>0.30429546366920923</v>
      </c>
    </row>
    <row r="6" spans="1:20" x14ac:dyDescent="0.25">
      <c r="A6" s="24">
        <v>0</v>
      </c>
      <c r="B6" s="24">
        <v>0.02</v>
      </c>
      <c r="C6" s="24">
        <v>85</v>
      </c>
      <c r="D6" s="24">
        <v>7.0000000000000007E-2</v>
      </c>
      <c r="E6" s="24">
        <v>5</v>
      </c>
      <c r="F6" s="24">
        <v>0</v>
      </c>
      <c r="G6" s="24">
        <v>0</v>
      </c>
      <c r="H6" s="24">
        <v>50</v>
      </c>
      <c r="I6" s="24">
        <v>50</v>
      </c>
      <c r="J6" s="24">
        <v>1</v>
      </c>
      <c r="K6" s="24">
        <v>100</v>
      </c>
      <c r="L6" s="24">
        <v>0</v>
      </c>
      <c r="M6" s="17">
        <v>50</v>
      </c>
      <c r="N6" s="17">
        <v>50</v>
      </c>
      <c r="O6" s="8">
        <v>70.569999999999993</v>
      </c>
      <c r="P6" s="17">
        <v>57.37</v>
      </c>
      <c r="Q6" s="25">
        <f t="shared" si="0"/>
        <v>-0.18704832081621081</v>
      </c>
      <c r="R6" s="8">
        <v>24.91</v>
      </c>
      <c r="S6" s="17">
        <v>27.71</v>
      </c>
      <c r="T6" s="25">
        <f t="shared" si="1"/>
        <v>0.1124046567643517</v>
      </c>
    </row>
    <row r="7" spans="1:20" x14ac:dyDescent="0.25">
      <c r="A7" s="24">
        <v>0</v>
      </c>
      <c r="B7" s="24">
        <v>-0.05</v>
      </c>
      <c r="C7" s="24">
        <v>-14</v>
      </c>
      <c r="D7" s="24">
        <v>0</v>
      </c>
      <c r="E7" s="24">
        <v>-0.7</v>
      </c>
      <c r="F7" s="24">
        <v>25</v>
      </c>
      <c r="G7" s="24">
        <v>5</v>
      </c>
      <c r="H7" s="24">
        <v>50</v>
      </c>
      <c r="I7" s="24">
        <v>0</v>
      </c>
      <c r="J7" s="24">
        <v>-10</v>
      </c>
      <c r="K7" s="24">
        <v>0</v>
      </c>
      <c r="L7" s="24">
        <v>100</v>
      </c>
      <c r="M7" s="17">
        <v>100</v>
      </c>
      <c r="N7" s="17">
        <v>0</v>
      </c>
      <c r="O7" s="8">
        <v>70.569999999999993</v>
      </c>
      <c r="P7" s="17">
        <v>53.07</v>
      </c>
      <c r="Q7" s="25">
        <f t="shared" si="0"/>
        <v>-0.24798072835482493</v>
      </c>
      <c r="R7" s="8">
        <v>24.91</v>
      </c>
      <c r="S7" s="17">
        <v>24.49</v>
      </c>
      <c r="T7" s="25">
        <f t="shared" si="1"/>
        <v>-1.6860698514652817E-2</v>
      </c>
    </row>
    <row r="8" spans="1:20" x14ac:dyDescent="0.25">
      <c r="A8" s="24">
        <v>100</v>
      </c>
      <c r="B8" s="24">
        <v>-0.05</v>
      </c>
      <c r="C8" s="24">
        <v>-14</v>
      </c>
      <c r="D8" s="24">
        <v>0</v>
      </c>
      <c r="E8" s="24">
        <v>-0.7</v>
      </c>
      <c r="F8" s="24">
        <v>0</v>
      </c>
      <c r="G8" s="24">
        <v>0</v>
      </c>
      <c r="H8" s="24">
        <v>50</v>
      </c>
      <c r="I8" s="24">
        <v>0</v>
      </c>
      <c r="J8" s="24">
        <v>1</v>
      </c>
      <c r="K8" s="24">
        <v>0</v>
      </c>
      <c r="L8" s="24">
        <v>100</v>
      </c>
      <c r="M8" s="17">
        <v>0</v>
      </c>
      <c r="N8" s="17">
        <v>100</v>
      </c>
      <c r="O8" s="8">
        <v>70.569999999999993</v>
      </c>
      <c r="P8" s="17">
        <v>49.61</v>
      </c>
      <c r="Q8" s="25">
        <f t="shared" si="0"/>
        <v>-0.2970100609324075</v>
      </c>
      <c r="R8" s="8">
        <v>24.91</v>
      </c>
      <c r="S8" s="17">
        <v>24.92</v>
      </c>
      <c r="T8" s="25">
        <f t="shared" si="1"/>
        <v>4.0144520272989012E-4</v>
      </c>
    </row>
    <row r="9" spans="1:20" x14ac:dyDescent="0.25">
      <c r="A9" s="24">
        <v>-15</v>
      </c>
      <c r="B9" s="24">
        <v>-0.05</v>
      </c>
      <c r="C9" s="24">
        <v>-14</v>
      </c>
      <c r="D9" s="24">
        <v>0</v>
      </c>
      <c r="E9" s="24">
        <v>0</v>
      </c>
      <c r="F9" s="24">
        <v>-25</v>
      </c>
      <c r="G9" s="24">
        <v>5</v>
      </c>
      <c r="H9" s="24">
        <v>50</v>
      </c>
      <c r="I9" s="24">
        <v>0</v>
      </c>
      <c r="J9" s="24">
        <v>1</v>
      </c>
      <c r="K9" s="24">
        <v>100</v>
      </c>
      <c r="L9" s="24">
        <v>0</v>
      </c>
      <c r="M9" s="17">
        <v>50</v>
      </c>
      <c r="N9" s="17">
        <v>50</v>
      </c>
      <c r="O9" s="8">
        <v>70.569999999999993</v>
      </c>
      <c r="P9" s="17">
        <v>55.19</v>
      </c>
      <c r="Q9" s="25">
        <f t="shared" si="0"/>
        <v>-0.21793963440555472</v>
      </c>
      <c r="R9" s="8">
        <v>24.91</v>
      </c>
      <c r="S9" s="17">
        <v>22.88</v>
      </c>
      <c r="T9" s="25">
        <f t="shared" si="1"/>
        <v>-8.1493376154155001E-2</v>
      </c>
    </row>
    <row r="10" spans="1:20" x14ac:dyDescent="0.25">
      <c r="A10" s="24">
        <v>-15</v>
      </c>
      <c r="B10" s="24">
        <v>0.02</v>
      </c>
      <c r="C10" s="24">
        <v>-14</v>
      </c>
      <c r="D10" s="24">
        <v>7.0000000000000007E-2</v>
      </c>
      <c r="E10" s="24">
        <v>5</v>
      </c>
      <c r="F10" s="24">
        <v>0</v>
      </c>
      <c r="G10" s="24">
        <v>5</v>
      </c>
      <c r="H10" s="24">
        <v>50</v>
      </c>
      <c r="I10" s="24">
        <v>0</v>
      </c>
      <c r="J10" s="24">
        <v>1</v>
      </c>
      <c r="K10" s="24">
        <v>100</v>
      </c>
      <c r="L10" s="24">
        <v>100</v>
      </c>
      <c r="M10" s="17">
        <v>100</v>
      </c>
      <c r="N10" s="17">
        <v>0</v>
      </c>
      <c r="O10" s="8">
        <v>70.569999999999993</v>
      </c>
      <c r="P10" s="17">
        <v>62.93</v>
      </c>
      <c r="Q10" s="25">
        <f t="shared" si="0"/>
        <v>-0.10826130083604923</v>
      </c>
      <c r="R10" s="8">
        <v>24.91</v>
      </c>
      <c r="S10" s="17">
        <v>25.88</v>
      </c>
      <c r="T10" s="25">
        <f t="shared" si="1"/>
        <v>3.8940184664793209E-2</v>
      </c>
    </row>
    <row r="11" spans="1:20" x14ac:dyDescent="0.25">
      <c r="A11" s="24">
        <v>0</v>
      </c>
      <c r="B11" s="24">
        <v>0.02</v>
      </c>
      <c r="C11" s="24">
        <v>-14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50</v>
      </c>
      <c r="J11" s="24">
        <v>-10</v>
      </c>
      <c r="K11" s="24">
        <v>0</v>
      </c>
      <c r="L11" s="24">
        <v>0</v>
      </c>
      <c r="M11" s="17">
        <v>0</v>
      </c>
      <c r="N11" s="17">
        <v>100</v>
      </c>
      <c r="O11" s="8">
        <v>70.569999999999993</v>
      </c>
      <c r="P11" s="17">
        <v>61.63</v>
      </c>
      <c r="Q11" s="25">
        <f t="shared" si="0"/>
        <v>-0.12668272637097905</v>
      </c>
      <c r="R11" s="8">
        <v>24.91</v>
      </c>
      <c r="S11" s="17">
        <v>26.01</v>
      </c>
      <c r="T11" s="25">
        <f t="shared" si="1"/>
        <v>4.4158972300281069E-2</v>
      </c>
    </row>
    <row r="12" spans="1:20" x14ac:dyDescent="0.25">
      <c r="A12" s="24">
        <v>100</v>
      </c>
      <c r="B12" s="24">
        <v>-0.05</v>
      </c>
      <c r="C12" s="24">
        <v>-14</v>
      </c>
      <c r="D12" s="24">
        <v>7.0000000000000007E-2</v>
      </c>
      <c r="E12" s="24">
        <v>5</v>
      </c>
      <c r="F12" s="24">
        <v>25</v>
      </c>
      <c r="G12" s="24">
        <v>0</v>
      </c>
      <c r="H12" s="24">
        <v>0</v>
      </c>
      <c r="I12" s="24">
        <v>0</v>
      </c>
      <c r="J12" s="24">
        <v>1</v>
      </c>
      <c r="K12" s="24">
        <v>0</v>
      </c>
      <c r="L12" s="24">
        <v>100</v>
      </c>
      <c r="M12" s="17">
        <v>50</v>
      </c>
      <c r="N12" s="17">
        <v>50</v>
      </c>
      <c r="O12" s="8">
        <v>70.569999999999993</v>
      </c>
      <c r="P12" s="17">
        <v>48.59</v>
      </c>
      <c r="Q12" s="25">
        <f t="shared" si="0"/>
        <v>-0.3114637948136601</v>
      </c>
      <c r="R12" s="8">
        <v>24.91</v>
      </c>
      <c r="S12" s="17">
        <v>30.02</v>
      </c>
      <c r="T12" s="25">
        <f t="shared" si="1"/>
        <v>0.20513849859494176</v>
      </c>
    </row>
    <row r="13" spans="1:20" x14ac:dyDescent="0.25">
      <c r="A13" s="24">
        <v>100</v>
      </c>
      <c r="B13" s="24">
        <v>-0.05</v>
      </c>
      <c r="C13" s="24">
        <v>-14</v>
      </c>
      <c r="D13" s="24">
        <v>7.0000000000000007E-2</v>
      </c>
      <c r="E13" s="24">
        <v>0</v>
      </c>
      <c r="F13" s="24">
        <v>0</v>
      </c>
      <c r="G13" s="24">
        <v>247</v>
      </c>
      <c r="H13" s="24">
        <v>50</v>
      </c>
      <c r="I13" s="24">
        <v>0</v>
      </c>
      <c r="J13" s="24">
        <v>-10</v>
      </c>
      <c r="K13" s="24">
        <v>100</v>
      </c>
      <c r="L13" s="24">
        <v>0</v>
      </c>
      <c r="M13" s="17">
        <v>100</v>
      </c>
      <c r="N13" s="17">
        <v>0</v>
      </c>
      <c r="O13" s="8">
        <v>70.569999999999993</v>
      </c>
      <c r="P13" s="17">
        <v>20.91</v>
      </c>
      <c r="Q13" s="25">
        <f t="shared" si="0"/>
        <v>-0.70369845543432052</v>
      </c>
      <c r="R13" s="8">
        <v>24.91</v>
      </c>
      <c r="S13" s="17">
        <v>33.979999999999997</v>
      </c>
      <c r="T13" s="25">
        <f t="shared" si="1"/>
        <v>0.36411079887595332</v>
      </c>
    </row>
    <row r="14" spans="1:20" x14ac:dyDescent="0.25">
      <c r="A14" s="24">
        <v>100</v>
      </c>
      <c r="B14" s="24">
        <v>0.02</v>
      </c>
      <c r="C14" s="24">
        <v>-14</v>
      </c>
      <c r="D14" s="24">
        <v>7.0000000000000007E-2</v>
      </c>
      <c r="E14" s="24">
        <v>0</v>
      </c>
      <c r="F14" s="24">
        <v>25</v>
      </c>
      <c r="G14" s="24">
        <v>0</v>
      </c>
      <c r="H14" s="24">
        <v>50</v>
      </c>
      <c r="I14" s="24">
        <v>50</v>
      </c>
      <c r="J14" s="24">
        <v>-10</v>
      </c>
      <c r="K14" s="24">
        <v>100</v>
      </c>
      <c r="L14" s="24">
        <v>0</v>
      </c>
      <c r="M14" s="17">
        <v>0</v>
      </c>
      <c r="N14" s="17">
        <v>100</v>
      </c>
      <c r="O14" s="8">
        <v>70.569999999999993</v>
      </c>
      <c r="P14" s="17">
        <v>43.27</v>
      </c>
      <c r="Q14" s="25">
        <f t="shared" si="0"/>
        <v>-0.38684993623352687</v>
      </c>
      <c r="R14" s="8">
        <v>24.91</v>
      </c>
      <c r="S14" s="17">
        <v>28.13</v>
      </c>
      <c r="T14" s="25">
        <f t="shared" si="1"/>
        <v>0.12926535527900437</v>
      </c>
    </row>
    <row r="15" spans="1:20" x14ac:dyDescent="0.25">
      <c r="A15" s="24">
        <v>-15</v>
      </c>
      <c r="B15" s="24">
        <v>-0.05</v>
      </c>
      <c r="C15" s="24">
        <v>85</v>
      </c>
      <c r="D15" s="24">
        <v>0</v>
      </c>
      <c r="E15" s="24">
        <v>5</v>
      </c>
      <c r="F15" s="24">
        <v>-25</v>
      </c>
      <c r="G15" s="24">
        <v>0</v>
      </c>
      <c r="H15" s="24">
        <v>0</v>
      </c>
      <c r="I15" s="24">
        <v>0</v>
      </c>
      <c r="J15" s="24">
        <v>1</v>
      </c>
      <c r="K15" s="24">
        <v>0</v>
      </c>
      <c r="L15" s="24">
        <v>0</v>
      </c>
      <c r="M15" s="17">
        <v>50</v>
      </c>
      <c r="N15" s="17">
        <v>50</v>
      </c>
      <c r="O15" s="8">
        <v>70.569999999999993</v>
      </c>
      <c r="P15" s="17">
        <v>59.94</v>
      </c>
      <c r="Q15" s="25">
        <f t="shared" si="0"/>
        <v>-0.15063057956638792</v>
      </c>
      <c r="R15" s="8">
        <v>24.91</v>
      </c>
      <c r="S15" s="17">
        <v>25.93</v>
      </c>
      <c r="T15" s="25">
        <f t="shared" si="1"/>
        <v>4.0947410678442375E-2</v>
      </c>
    </row>
    <row r="16" spans="1:20" x14ac:dyDescent="0.25">
      <c r="A16" s="24">
        <v>-15</v>
      </c>
      <c r="B16" s="24">
        <v>-0.05</v>
      </c>
      <c r="C16" s="24">
        <v>-14</v>
      </c>
      <c r="D16" s="24">
        <v>-7.0000000000000007E-2</v>
      </c>
      <c r="E16" s="24">
        <v>0</v>
      </c>
      <c r="F16" s="24">
        <v>-25</v>
      </c>
      <c r="G16" s="24">
        <v>247</v>
      </c>
      <c r="H16" s="24">
        <v>50</v>
      </c>
      <c r="I16" s="24">
        <v>0</v>
      </c>
      <c r="J16" s="24">
        <v>-10</v>
      </c>
      <c r="K16" s="24">
        <v>100</v>
      </c>
      <c r="L16" s="24">
        <v>100</v>
      </c>
      <c r="M16" s="17">
        <v>100</v>
      </c>
      <c r="N16" s="17">
        <v>0</v>
      </c>
      <c r="O16" s="8">
        <v>70.569999999999993</v>
      </c>
      <c r="P16" s="17">
        <v>16.02</v>
      </c>
      <c r="Q16" s="25">
        <f t="shared" si="0"/>
        <v>-0.77299135610032599</v>
      </c>
      <c r="R16" s="8">
        <v>24.91</v>
      </c>
      <c r="S16" s="17">
        <v>32.92</v>
      </c>
      <c r="T16" s="25">
        <f t="shared" si="1"/>
        <v>0.32155760738659178</v>
      </c>
    </row>
    <row r="17" spans="1:20" x14ac:dyDescent="0.25">
      <c r="A17" s="24">
        <v>100</v>
      </c>
      <c r="B17" s="24">
        <v>-0.05</v>
      </c>
      <c r="C17" s="24">
        <v>85</v>
      </c>
      <c r="D17" s="24">
        <v>-7.0000000000000007E-2</v>
      </c>
      <c r="E17" s="24">
        <v>5</v>
      </c>
      <c r="F17" s="24">
        <v>0</v>
      </c>
      <c r="G17" s="24">
        <v>5</v>
      </c>
      <c r="H17" s="24">
        <v>50</v>
      </c>
      <c r="I17" s="24">
        <v>50</v>
      </c>
      <c r="J17" s="24">
        <v>-10</v>
      </c>
      <c r="K17" s="24">
        <v>0</v>
      </c>
      <c r="L17" s="24">
        <v>0</v>
      </c>
      <c r="M17" s="17">
        <v>0</v>
      </c>
      <c r="N17" s="17">
        <v>100</v>
      </c>
      <c r="O17" s="8">
        <v>70.569999999999993</v>
      </c>
      <c r="P17" s="17">
        <v>34.92</v>
      </c>
      <c r="Q17" s="25">
        <f t="shared" si="0"/>
        <v>-0.50517216947711485</v>
      </c>
      <c r="R17" s="8">
        <v>24.91</v>
      </c>
      <c r="S17" s="17">
        <v>30.28</v>
      </c>
      <c r="T17" s="25">
        <f t="shared" si="1"/>
        <v>0.21557607386591734</v>
      </c>
    </row>
    <row r="18" spans="1:20" x14ac:dyDescent="0.25">
      <c r="A18" s="24">
        <v>0</v>
      </c>
      <c r="B18" s="24">
        <v>0.02</v>
      </c>
      <c r="C18" s="24">
        <v>-14</v>
      </c>
      <c r="D18" s="24">
        <v>0</v>
      </c>
      <c r="E18" s="24">
        <v>5</v>
      </c>
      <c r="F18" s="24">
        <v>0</v>
      </c>
      <c r="G18" s="24">
        <v>5</v>
      </c>
      <c r="H18" s="24">
        <v>0</v>
      </c>
      <c r="I18" s="24">
        <v>50</v>
      </c>
      <c r="J18" s="24">
        <v>0</v>
      </c>
      <c r="K18" s="24">
        <v>0</v>
      </c>
      <c r="L18" s="24">
        <v>0</v>
      </c>
      <c r="M18" s="17">
        <v>50</v>
      </c>
      <c r="N18" s="17">
        <v>50</v>
      </c>
      <c r="O18" s="8">
        <v>70.569999999999993</v>
      </c>
      <c r="P18" s="17">
        <v>64.989999999999995</v>
      </c>
      <c r="Q18" s="25">
        <f t="shared" si="0"/>
        <v>-7.9070426526852755E-2</v>
      </c>
      <c r="R18" s="8">
        <v>24.91</v>
      </c>
      <c r="S18" s="17">
        <v>27.73</v>
      </c>
      <c r="T18" s="25">
        <f t="shared" si="1"/>
        <v>0.11320754716981134</v>
      </c>
    </row>
    <row r="19" spans="1:20" x14ac:dyDescent="0.25">
      <c r="A19" s="24">
        <v>0</v>
      </c>
      <c r="B19" s="24">
        <v>0.02</v>
      </c>
      <c r="C19" s="24">
        <v>85</v>
      </c>
      <c r="D19" s="24">
        <v>-7.0000000000000007E-2</v>
      </c>
      <c r="E19" s="24">
        <v>-0.7</v>
      </c>
      <c r="F19" s="24">
        <v>0</v>
      </c>
      <c r="G19" s="24">
        <v>0</v>
      </c>
      <c r="H19" s="24">
        <v>0</v>
      </c>
      <c r="I19" s="24">
        <v>50</v>
      </c>
      <c r="J19" s="24">
        <v>-10</v>
      </c>
      <c r="K19" s="26">
        <v>0</v>
      </c>
      <c r="L19" s="24">
        <v>100</v>
      </c>
      <c r="M19" s="17">
        <v>100</v>
      </c>
      <c r="N19" s="17">
        <v>0</v>
      </c>
      <c r="O19" s="8">
        <v>70.569999999999993</v>
      </c>
      <c r="P19" s="17">
        <v>53.33</v>
      </c>
      <c r="Q19" s="25">
        <f t="shared" si="0"/>
        <v>-0.24429644324783897</v>
      </c>
      <c r="R19" s="8">
        <v>24.91</v>
      </c>
      <c r="S19" s="17">
        <v>25.48</v>
      </c>
      <c r="T19" s="25">
        <f t="shared" si="1"/>
        <v>2.2882376555600173E-2</v>
      </c>
    </row>
    <row r="20" spans="1:20" x14ac:dyDescent="0.25">
      <c r="A20" s="24">
        <v>-15</v>
      </c>
      <c r="B20" s="24">
        <v>-0.05</v>
      </c>
      <c r="C20" s="24">
        <v>-14</v>
      </c>
      <c r="D20" s="24">
        <v>0</v>
      </c>
      <c r="E20" s="24">
        <v>0</v>
      </c>
      <c r="F20" s="24">
        <v>-25</v>
      </c>
      <c r="G20" s="24">
        <v>0</v>
      </c>
      <c r="H20" s="24">
        <v>0</v>
      </c>
      <c r="I20" s="24">
        <v>50</v>
      </c>
      <c r="J20" s="27">
        <v>-10</v>
      </c>
      <c r="K20" s="28">
        <v>0</v>
      </c>
      <c r="L20" s="29">
        <v>0</v>
      </c>
      <c r="M20" s="17">
        <v>0</v>
      </c>
      <c r="N20" s="17">
        <v>100</v>
      </c>
      <c r="O20" s="8">
        <v>70.569999999999993</v>
      </c>
      <c r="P20" s="17">
        <v>54.67</v>
      </c>
      <c r="Q20" s="25">
        <f t="shared" si="0"/>
        <v>-0.22530820461952661</v>
      </c>
      <c r="R20" s="8">
        <v>24.91</v>
      </c>
      <c r="S20" s="17">
        <v>25.07</v>
      </c>
      <c r="T20" s="25">
        <f t="shared" si="1"/>
        <v>6.4231232436772435E-3</v>
      </c>
    </row>
    <row r="21" spans="1:20" x14ac:dyDescent="0.25">
      <c r="A21" s="24">
        <v>100</v>
      </c>
      <c r="B21" s="24">
        <v>0.02</v>
      </c>
      <c r="C21" s="24">
        <v>-14</v>
      </c>
      <c r="D21" s="24">
        <v>-7.0000000000000007E-2</v>
      </c>
      <c r="E21" s="24">
        <v>-0.7</v>
      </c>
      <c r="F21" s="24">
        <v>0</v>
      </c>
      <c r="G21" s="24">
        <v>5</v>
      </c>
      <c r="H21" s="24">
        <v>50</v>
      </c>
      <c r="I21" s="24">
        <v>50</v>
      </c>
      <c r="J21" s="24">
        <v>-10</v>
      </c>
      <c r="K21" s="30">
        <v>0</v>
      </c>
      <c r="L21" s="24">
        <v>100</v>
      </c>
      <c r="M21" s="17">
        <v>50</v>
      </c>
      <c r="N21" s="17">
        <v>50</v>
      </c>
      <c r="O21" s="8">
        <v>70.569999999999993</v>
      </c>
      <c r="P21" s="17">
        <v>42.81</v>
      </c>
      <c r="Q21" s="25">
        <f t="shared" si="0"/>
        <v>-0.39336828680742514</v>
      </c>
      <c r="R21" s="8">
        <v>24.91</v>
      </c>
      <c r="S21" s="17">
        <v>26.53</v>
      </c>
      <c r="T21" s="25">
        <f t="shared" si="1"/>
        <v>6.5034122842232076E-2</v>
      </c>
    </row>
    <row r="22" spans="1:20" x14ac:dyDescent="0.25">
      <c r="A22" s="24">
        <v>100</v>
      </c>
      <c r="B22" s="24">
        <v>-0.05</v>
      </c>
      <c r="C22" s="24">
        <v>85</v>
      </c>
      <c r="D22" s="24">
        <v>0</v>
      </c>
      <c r="E22" s="24">
        <v>-0.7</v>
      </c>
      <c r="F22" s="24">
        <v>-25</v>
      </c>
      <c r="G22" s="24">
        <v>5</v>
      </c>
      <c r="H22" s="24">
        <v>0</v>
      </c>
      <c r="I22" s="24">
        <v>0</v>
      </c>
      <c r="J22" s="24">
        <v>-10</v>
      </c>
      <c r="K22" s="24">
        <v>100</v>
      </c>
      <c r="L22" s="24">
        <v>100</v>
      </c>
      <c r="M22" s="17">
        <v>100</v>
      </c>
      <c r="N22" s="17">
        <v>0</v>
      </c>
      <c r="O22" s="8">
        <v>70.569999999999993</v>
      </c>
      <c r="P22" s="17">
        <v>37.51</v>
      </c>
      <c r="Q22" s="25">
        <f t="shared" si="0"/>
        <v>-0.46847102168060079</v>
      </c>
      <c r="R22" s="8">
        <v>24.91</v>
      </c>
      <c r="S22" s="17">
        <v>26.38</v>
      </c>
      <c r="T22" s="25">
        <f t="shared" si="1"/>
        <v>5.9012444801284578E-2</v>
      </c>
    </row>
    <row r="23" spans="1:20" x14ac:dyDescent="0.25">
      <c r="A23" s="24">
        <v>-15</v>
      </c>
      <c r="B23" s="24">
        <v>0.02</v>
      </c>
      <c r="C23" s="24">
        <v>85</v>
      </c>
      <c r="D23" s="24">
        <v>-7.0000000000000007E-2</v>
      </c>
      <c r="E23" s="24">
        <v>0</v>
      </c>
      <c r="F23" s="24">
        <v>0</v>
      </c>
      <c r="G23" s="24">
        <v>0</v>
      </c>
      <c r="H23" s="24">
        <v>50</v>
      </c>
      <c r="I23" s="24">
        <v>50</v>
      </c>
      <c r="J23" s="24">
        <v>1</v>
      </c>
      <c r="K23" s="24">
        <v>0</v>
      </c>
      <c r="L23" s="24">
        <v>100</v>
      </c>
      <c r="M23" s="17">
        <v>0</v>
      </c>
      <c r="N23" s="17">
        <v>100</v>
      </c>
      <c r="O23" s="8">
        <v>70.569999999999993</v>
      </c>
      <c r="P23" s="17">
        <v>56.25</v>
      </c>
      <c r="Q23" s="25">
        <f t="shared" si="0"/>
        <v>-0.20291908743091958</v>
      </c>
      <c r="R23" s="8">
        <v>24.91</v>
      </c>
      <c r="S23" s="17">
        <v>24.4</v>
      </c>
      <c r="T23" s="25">
        <f t="shared" si="1"/>
        <v>-2.047370533922126E-2</v>
      </c>
    </row>
    <row r="24" spans="1:20" x14ac:dyDescent="0.25">
      <c r="A24" s="24">
        <v>100</v>
      </c>
      <c r="B24" s="24">
        <v>0.02</v>
      </c>
      <c r="C24" s="24">
        <v>-14</v>
      </c>
      <c r="D24" s="24">
        <v>7.0000000000000007E-2</v>
      </c>
      <c r="E24" s="24">
        <v>-0.7</v>
      </c>
      <c r="F24" s="24">
        <v>-25</v>
      </c>
      <c r="G24" s="24">
        <v>0</v>
      </c>
      <c r="H24" s="24">
        <v>0</v>
      </c>
      <c r="I24" s="24">
        <v>0</v>
      </c>
      <c r="J24" s="24">
        <v>1</v>
      </c>
      <c r="K24" s="24">
        <v>100</v>
      </c>
      <c r="L24" s="24">
        <v>0</v>
      </c>
      <c r="M24" s="17">
        <v>50</v>
      </c>
      <c r="N24" s="17">
        <v>50</v>
      </c>
      <c r="O24" s="8">
        <v>70.569999999999993</v>
      </c>
      <c r="P24" s="17">
        <v>55.74</v>
      </c>
      <c r="Q24" s="25">
        <f t="shared" si="0"/>
        <v>-0.21014595437154587</v>
      </c>
      <c r="R24" s="8">
        <v>24.91</v>
      </c>
      <c r="S24" s="17">
        <v>25.55</v>
      </c>
      <c r="T24" s="25">
        <f t="shared" si="1"/>
        <v>2.5692492974708974E-2</v>
      </c>
    </row>
    <row r="25" spans="1:20" x14ac:dyDescent="0.25">
      <c r="A25" s="24">
        <v>-15</v>
      </c>
      <c r="B25" s="24">
        <v>0.02</v>
      </c>
      <c r="C25" s="24">
        <v>85</v>
      </c>
      <c r="D25" s="24">
        <v>0</v>
      </c>
      <c r="E25" s="24">
        <v>5</v>
      </c>
      <c r="F25" s="24">
        <v>25</v>
      </c>
      <c r="G25" s="24">
        <v>247</v>
      </c>
      <c r="H25" s="24">
        <v>0</v>
      </c>
      <c r="I25" s="24">
        <v>50</v>
      </c>
      <c r="J25" s="24">
        <v>0</v>
      </c>
      <c r="K25" s="24">
        <v>0</v>
      </c>
      <c r="L25" s="24">
        <v>0</v>
      </c>
      <c r="M25" s="17">
        <v>100</v>
      </c>
      <c r="N25" s="17">
        <v>0</v>
      </c>
      <c r="O25" s="8">
        <v>70.569999999999993</v>
      </c>
      <c r="P25" s="17">
        <v>28.56</v>
      </c>
      <c r="Q25" s="25">
        <f t="shared" si="0"/>
        <v>-0.59529545132492556</v>
      </c>
      <c r="R25" s="8">
        <v>24.91</v>
      </c>
      <c r="S25" s="17">
        <v>31.08</v>
      </c>
      <c r="T25" s="25">
        <f t="shared" si="1"/>
        <v>0.24769169008430342</v>
      </c>
    </row>
    <row r="26" spans="1:20" x14ac:dyDescent="0.25">
      <c r="A26" s="24">
        <v>-15</v>
      </c>
      <c r="B26" s="24">
        <v>-0.05</v>
      </c>
      <c r="C26" s="24">
        <v>-14</v>
      </c>
      <c r="D26" s="24">
        <v>-7.0000000000000007E-2</v>
      </c>
      <c r="E26" s="24">
        <v>-0.7</v>
      </c>
      <c r="F26" s="24">
        <v>-25</v>
      </c>
      <c r="G26" s="24">
        <v>5</v>
      </c>
      <c r="H26" s="24">
        <v>50</v>
      </c>
      <c r="I26" s="24">
        <v>50</v>
      </c>
      <c r="J26" s="24">
        <v>0</v>
      </c>
      <c r="K26" s="24">
        <v>100</v>
      </c>
      <c r="L26" s="24">
        <v>100</v>
      </c>
      <c r="M26" s="17">
        <v>0</v>
      </c>
      <c r="N26" s="17">
        <v>100</v>
      </c>
      <c r="O26" s="8">
        <v>70.569999999999993</v>
      </c>
      <c r="P26" s="17">
        <v>43.17</v>
      </c>
      <c r="Q26" s="25">
        <f t="shared" si="0"/>
        <v>-0.38826696896698304</v>
      </c>
      <c r="R26" s="8">
        <v>24.91</v>
      </c>
      <c r="S26" s="17">
        <v>23.21</v>
      </c>
      <c r="T26" s="25">
        <f t="shared" si="1"/>
        <v>-6.824568446407063E-2</v>
      </c>
    </row>
    <row r="27" spans="1:20" x14ac:dyDescent="0.25">
      <c r="A27" s="24">
        <v>0</v>
      </c>
      <c r="B27" s="24">
        <v>0.02</v>
      </c>
      <c r="C27" s="24">
        <v>-14</v>
      </c>
      <c r="D27" s="24">
        <v>7.0000000000000007E-2</v>
      </c>
      <c r="E27" s="24">
        <v>5</v>
      </c>
      <c r="F27" s="24">
        <v>25</v>
      </c>
      <c r="G27" s="24">
        <v>5</v>
      </c>
      <c r="H27" s="24">
        <v>50</v>
      </c>
      <c r="I27" s="24">
        <v>0</v>
      </c>
      <c r="J27" s="24">
        <v>1</v>
      </c>
      <c r="K27" s="24">
        <v>100</v>
      </c>
      <c r="L27" s="24">
        <v>0</v>
      </c>
      <c r="M27" s="17">
        <v>50</v>
      </c>
      <c r="N27" s="17">
        <v>50</v>
      </c>
      <c r="O27" s="8">
        <v>70.569999999999993</v>
      </c>
      <c r="P27" s="17">
        <v>58.89</v>
      </c>
      <c r="Q27" s="25">
        <f t="shared" si="0"/>
        <v>-0.1655094232676774</v>
      </c>
      <c r="R27" s="8">
        <v>24.91</v>
      </c>
      <c r="S27" s="17">
        <v>27.13</v>
      </c>
      <c r="T27" s="25">
        <f t="shared" si="1"/>
        <v>8.9120835006021637E-2</v>
      </c>
    </row>
    <row r="28" spans="1:20" x14ac:dyDescent="0.25">
      <c r="A28" s="24">
        <v>0</v>
      </c>
      <c r="B28" s="24">
        <v>0.02</v>
      </c>
      <c r="C28" s="24">
        <v>85</v>
      </c>
      <c r="D28" s="24">
        <v>7.0000000000000007E-2</v>
      </c>
      <c r="E28" s="24">
        <v>5</v>
      </c>
      <c r="F28" s="24">
        <v>0</v>
      </c>
      <c r="G28" s="24">
        <v>247</v>
      </c>
      <c r="H28" s="24">
        <v>50</v>
      </c>
      <c r="I28" s="24">
        <v>0</v>
      </c>
      <c r="J28" s="24">
        <v>-10</v>
      </c>
      <c r="K28" s="24">
        <v>0</v>
      </c>
      <c r="L28" s="24">
        <v>0</v>
      </c>
      <c r="M28" s="17">
        <v>100</v>
      </c>
      <c r="N28" s="17">
        <v>0</v>
      </c>
      <c r="O28" s="8">
        <v>70.569999999999993</v>
      </c>
      <c r="P28" s="17">
        <v>23.51</v>
      </c>
      <c r="Q28" s="25">
        <f t="shared" si="0"/>
        <v>-0.66685560436446067</v>
      </c>
      <c r="R28" s="8">
        <v>24.91</v>
      </c>
      <c r="S28" s="17">
        <v>33.21</v>
      </c>
      <c r="T28" s="25">
        <f t="shared" si="1"/>
        <v>0.33319951826575678</v>
      </c>
    </row>
    <row r="29" spans="1:20" x14ac:dyDescent="0.25">
      <c r="A29" s="24">
        <v>-15</v>
      </c>
      <c r="B29" s="24">
        <v>0.02</v>
      </c>
      <c r="C29" s="24">
        <v>85</v>
      </c>
      <c r="D29" s="24">
        <v>7.0000000000000007E-2</v>
      </c>
      <c r="E29" s="24">
        <v>-0.7</v>
      </c>
      <c r="F29" s="24">
        <v>0</v>
      </c>
      <c r="G29" s="24">
        <v>5</v>
      </c>
      <c r="H29" s="24">
        <v>50</v>
      </c>
      <c r="I29" s="24">
        <v>0</v>
      </c>
      <c r="J29" s="24">
        <v>-10</v>
      </c>
      <c r="K29" s="24">
        <v>0</v>
      </c>
      <c r="L29" s="24">
        <v>0</v>
      </c>
      <c r="M29" s="17">
        <v>0</v>
      </c>
      <c r="N29" s="17">
        <v>100</v>
      </c>
      <c r="O29" s="8">
        <v>70.569999999999993</v>
      </c>
      <c r="P29" s="17">
        <v>63.23</v>
      </c>
      <c r="Q29" s="25">
        <f t="shared" si="0"/>
        <v>-0.10401020263568084</v>
      </c>
      <c r="R29" s="8">
        <v>24.91</v>
      </c>
      <c r="S29" s="17">
        <v>24.7</v>
      </c>
      <c r="T29" s="25">
        <f t="shared" si="1"/>
        <v>-8.4303492573264086E-3</v>
      </c>
    </row>
    <row r="30" spans="1:20" x14ac:dyDescent="0.25">
      <c r="A30" s="24">
        <v>100</v>
      </c>
      <c r="B30" s="24">
        <v>0.02</v>
      </c>
      <c r="C30" s="24">
        <v>-14</v>
      </c>
      <c r="D30" s="24">
        <v>7.0000000000000007E-2</v>
      </c>
      <c r="E30" s="24">
        <v>0</v>
      </c>
      <c r="F30" s="24">
        <v>0</v>
      </c>
      <c r="G30" s="24">
        <v>5</v>
      </c>
      <c r="H30" s="24">
        <v>0</v>
      </c>
      <c r="I30" s="24">
        <v>0</v>
      </c>
      <c r="J30" s="24">
        <v>1</v>
      </c>
      <c r="K30" s="24">
        <v>100</v>
      </c>
      <c r="L30" s="24">
        <v>0</v>
      </c>
      <c r="M30" s="17">
        <v>50</v>
      </c>
      <c r="N30" s="17">
        <v>50</v>
      </c>
      <c r="O30" s="8">
        <v>70.569999999999993</v>
      </c>
      <c r="P30" s="17">
        <v>54.18</v>
      </c>
      <c r="Q30" s="25">
        <f t="shared" si="0"/>
        <v>-0.23225166501346173</v>
      </c>
      <c r="R30" s="8">
        <v>24.91</v>
      </c>
      <c r="S30" s="17">
        <v>26.43</v>
      </c>
      <c r="T30" s="25">
        <f t="shared" si="1"/>
        <v>6.1019670814933744E-2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9C80-DB90-4045-804B-D9FF94BD0080}">
  <dimension ref="A1:O14"/>
  <sheetViews>
    <sheetView workbookViewId="0">
      <selection activeCell="I25" sqref="I25"/>
    </sheetView>
  </sheetViews>
  <sheetFormatPr defaultRowHeight="15" x14ac:dyDescent="0.25"/>
  <cols>
    <col min="1" max="1" width="24.5703125" bestFit="1" customWidth="1"/>
    <col min="2" max="2" width="18.5703125" bestFit="1" customWidth="1"/>
    <col min="3" max="3" width="15.7109375" bestFit="1" customWidth="1"/>
    <col min="4" max="4" width="14.5703125" bestFit="1" customWidth="1"/>
    <col min="5" max="5" width="21.140625" bestFit="1" customWidth="1"/>
    <col min="6" max="6" width="16.42578125" bestFit="1" customWidth="1"/>
    <col min="7" max="7" width="20.42578125" bestFit="1" customWidth="1"/>
    <col min="8" max="8" width="15.28515625" bestFit="1" customWidth="1"/>
  </cols>
  <sheetData>
    <row r="1" spans="1:15" x14ac:dyDescent="0.25">
      <c r="A1" s="37" t="s">
        <v>58</v>
      </c>
      <c r="B1" s="37"/>
      <c r="C1" s="37"/>
      <c r="D1" s="37"/>
      <c r="E1" s="37"/>
      <c r="F1" s="37"/>
      <c r="G1" s="37"/>
      <c r="H1" s="37"/>
      <c r="I1" s="4"/>
      <c r="J1" s="4"/>
      <c r="K1" s="4"/>
      <c r="L1" s="4"/>
      <c r="M1" s="4"/>
      <c r="N1" s="4"/>
      <c r="O1" s="4"/>
    </row>
    <row r="2" spans="1:15" x14ac:dyDescent="0.25">
      <c r="A2" s="22" t="s">
        <v>59</v>
      </c>
      <c r="B2" s="22" t="s">
        <v>61</v>
      </c>
      <c r="C2" s="22" t="s">
        <v>93</v>
      </c>
      <c r="D2" s="22" t="s">
        <v>94</v>
      </c>
      <c r="E2" s="22" t="s">
        <v>95</v>
      </c>
      <c r="F2" s="22" t="s">
        <v>96</v>
      </c>
      <c r="G2" s="22" t="s">
        <v>97</v>
      </c>
      <c r="H2" s="22" t="s">
        <v>98</v>
      </c>
    </row>
    <row r="3" spans="1:15" x14ac:dyDescent="0.25">
      <c r="A3" s="17" t="s">
        <v>64</v>
      </c>
      <c r="B3" s="17">
        <v>0.66308100000000003</v>
      </c>
      <c r="C3" s="17">
        <v>1.6000000000000001E-4</v>
      </c>
      <c r="D3" s="17">
        <v>0.111318</v>
      </c>
      <c r="E3" s="17">
        <v>0.4037</v>
      </c>
      <c r="F3" s="17">
        <v>6.6378999999999994E-2</v>
      </c>
      <c r="G3" s="17">
        <v>0.66297499999999998</v>
      </c>
      <c r="H3" s="17">
        <v>0.36467699999999997</v>
      </c>
    </row>
    <row r="4" spans="1:15" x14ac:dyDescent="0.25">
      <c r="A4" s="17" t="s">
        <v>65</v>
      </c>
      <c r="B4" s="17">
        <v>-8.7580000000000002E-3</v>
      </c>
      <c r="C4" s="17">
        <v>1.4999999999999999E-2</v>
      </c>
      <c r="D4" s="17">
        <v>1.9739E-2</v>
      </c>
      <c r="E4" s="23">
        <v>3.1300000000000001E-7</v>
      </c>
      <c r="F4" s="17">
        <v>1.9739E-2</v>
      </c>
      <c r="G4" s="17">
        <v>8.6269999999999993E-3</v>
      </c>
      <c r="H4" s="17">
        <v>1.4182999999999999E-2</v>
      </c>
    </row>
    <row r="5" spans="1:15" x14ac:dyDescent="0.25">
      <c r="A5" s="17" t="s">
        <v>67</v>
      </c>
      <c r="B5" s="17">
        <v>7.7949999999999998E-3</v>
      </c>
      <c r="C5" s="23">
        <v>3.0199999999999999E-5</v>
      </c>
      <c r="D5" s="17">
        <v>-4.4889999999999999E-3</v>
      </c>
      <c r="E5" s="17">
        <v>2.5999999999999999E-3</v>
      </c>
      <c r="F5" s="17">
        <v>4.4770000000000001E-3</v>
      </c>
      <c r="G5" s="17">
        <v>7.7949999999999998E-3</v>
      </c>
      <c r="H5" s="17">
        <v>6.136E-3</v>
      </c>
    </row>
    <row r="6" spans="1:15" x14ac:dyDescent="0.25">
      <c r="A6" s="17" t="s">
        <v>56</v>
      </c>
      <c r="B6" s="17">
        <v>-9.2919999999999999E-3</v>
      </c>
      <c r="C6" s="17">
        <v>2.9999999999999997E-4</v>
      </c>
      <c r="D6" s="17">
        <v>1.5343000000000001E-2</v>
      </c>
      <c r="E6" s="17">
        <v>0.93789999999999996</v>
      </c>
      <c r="F6" s="17">
        <v>9.5299999999999996E-4</v>
      </c>
      <c r="G6" s="17">
        <v>9.2890000000000004E-3</v>
      </c>
      <c r="H6" s="17">
        <v>5.1209999999999997E-3</v>
      </c>
    </row>
    <row r="7" spans="1:15" x14ac:dyDescent="0.25">
      <c r="A7" s="17" t="s">
        <v>55</v>
      </c>
      <c r="B7" s="17">
        <v>-1.8270000000000001E-3</v>
      </c>
      <c r="C7" s="23">
        <v>1.19E-18</v>
      </c>
      <c r="D7" s="17">
        <v>9.9700000000000006E-4</v>
      </c>
      <c r="E7" s="23">
        <v>1.24E-13</v>
      </c>
      <c r="F7" s="17">
        <v>9.9700000000000006E-4</v>
      </c>
      <c r="G7" s="17">
        <v>1.8270000000000001E-3</v>
      </c>
      <c r="H7" s="17">
        <v>1.4120000000000001E-3</v>
      </c>
    </row>
    <row r="8" spans="1:15" x14ac:dyDescent="0.25">
      <c r="A8" s="17" t="s">
        <v>62</v>
      </c>
      <c r="B8" s="17">
        <v>-1.2830000000000001E-3</v>
      </c>
      <c r="C8" s="23">
        <v>8.5E-9</v>
      </c>
      <c r="D8" s="17">
        <v>8.1899999999999996E-4</v>
      </c>
      <c r="E8" s="23">
        <v>2.03E-6</v>
      </c>
      <c r="F8" s="17">
        <v>8.1899999999999996E-4</v>
      </c>
      <c r="G8" s="17">
        <v>1.2830000000000001E-3</v>
      </c>
      <c r="H8" s="17">
        <v>1.0510000000000001E-3</v>
      </c>
    </row>
    <row r="9" spans="1:15" x14ac:dyDescent="0.25">
      <c r="A9" s="17" t="s">
        <v>68</v>
      </c>
      <c r="B9" s="17">
        <v>-7.7999999999999999E-4</v>
      </c>
      <c r="C9" s="17">
        <v>1.6000000000000001E-4</v>
      </c>
      <c r="D9" s="23">
        <v>6.0000000000000002E-6</v>
      </c>
      <c r="E9" s="17">
        <v>0.97119999999999995</v>
      </c>
      <c r="F9" s="17">
        <v>0</v>
      </c>
      <c r="G9" s="17">
        <v>7.7999999999999999E-4</v>
      </c>
      <c r="H9" s="17">
        <v>3.8999999999999999E-4</v>
      </c>
    </row>
    <row r="10" spans="1:15" x14ac:dyDescent="0.25">
      <c r="A10" s="17" t="s">
        <v>69</v>
      </c>
      <c r="B10" s="17">
        <v>-5.4799999999999998E-4</v>
      </c>
      <c r="C10" s="17">
        <v>2.8E-3</v>
      </c>
      <c r="D10" s="23">
        <v>8.3999999999999995E-5</v>
      </c>
      <c r="E10" s="17">
        <v>0.56530000000000002</v>
      </c>
      <c r="F10" s="23">
        <v>3.6999999999999998E-5</v>
      </c>
      <c r="G10" s="17">
        <v>5.4600000000000004E-4</v>
      </c>
      <c r="H10" s="17">
        <v>2.92E-4</v>
      </c>
    </row>
    <row r="11" spans="1:15" x14ac:dyDescent="0.25">
      <c r="A11" s="17" t="s">
        <v>60</v>
      </c>
      <c r="B11" s="17">
        <v>-4.86E-4</v>
      </c>
      <c r="C11" s="17">
        <v>0.1497</v>
      </c>
      <c r="D11" s="17">
        <v>2.4899999999999998E-4</v>
      </c>
      <c r="E11" s="17">
        <v>0.3901</v>
      </c>
      <c r="F11" s="17">
        <v>1.5200000000000001E-4</v>
      </c>
      <c r="G11" s="17">
        <v>4.1300000000000001E-4</v>
      </c>
      <c r="H11" s="17">
        <v>2.8200000000000002E-4</v>
      </c>
    </row>
    <row r="12" spans="1:15" x14ac:dyDescent="0.25">
      <c r="A12" s="17" t="s">
        <v>63</v>
      </c>
      <c r="B12" s="17">
        <v>-3.2899999999999997E-4</v>
      </c>
      <c r="C12" s="17">
        <v>7.3599999999999999E-2</v>
      </c>
      <c r="D12" s="23">
        <v>3.4999999999999997E-5</v>
      </c>
      <c r="E12" s="17">
        <v>0.82030000000000003</v>
      </c>
      <c r="F12" s="23">
        <v>6.0000000000000002E-6</v>
      </c>
      <c r="G12" s="17">
        <v>3.0499999999999999E-4</v>
      </c>
      <c r="H12" s="17">
        <v>1.55E-4</v>
      </c>
    </row>
    <row r="13" spans="1:15" x14ac:dyDescent="0.25">
      <c r="A13" s="17" t="s">
        <v>66</v>
      </c>
      <c r="B13" s="23">
        <v>7.2000000000000002E-5</v>
      </c>
      <c r="C13" s="17">
        <v>0.87119999999999997</v>
      </c>
      <c r="D13" s="17">
        <v>3.1799999999999998E-4</v>
      </c>
      <c r="E13" s="17">
        <v>0.4113</v>
      </c>
      <c r="F13" s="17">
        <v>1.8699999999999999E-4</v>
      </c>
      <c r="G13" s="23">
        <v>9.0000000000000002E-6</v>
      </c>
      <c r="H13" s="23">
        <v>9.7999999999999997E-5</v>
      </c>
    </row>
    <row r="14" spans="1:15" x14ac:dyDescent="0.25">
      <c r="A14" s="17" t="s">
        <v>57</v>
      </c>
      <c r="B14" s="17">
        <v>-2.0900000000000001E-4</v>
      </c>
      <c r="C14" s="17">
        <v>0.53159999999999996</v>
      </c>
      <c r="D14" s="23">
        <v>-8.6000000000000003E-5</v>
      </c>
      <c r="E14" s="17">
        <v>0.76549999999999996</v>
      </c>
      <c r="F14" s="23">
        <v>2.0000000000000002E-5</v>
      </c>
      <c r="G14" s="23">
        <v>9.7999999999999997E-5</v>
      </c>
      <c r="H14" s="23">
        <v>5.8999999999999998E-5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DDAF-A5D1-4DA4-8E4A-6A2D72EFBFFF}">
  <dimension ref="A1:AK39"/>
  <sheetViews>
    <sheetView topLeftCell="L1" zoomScale="80" zoomScaleNormal="80" workbookViewId="0">
      <selection activeCell="Q40" sqref="Q40"/>
    </sheetView>
  </sheetViews>
  <sheetFormatPr defaultRowHeight="15" x14ac:dyDescent="0.25"/>
  <cols>
    <col min="1" max="1" width="11.42578125" bestFit="1" customWidth="1"/>
    <col min="2" max="2" width="32.7109375" bestFit="1" customWidth="1"/>
    <col min="3" max="3" width="12.42578125" bestFit="1" customWidth="1"/>
    <col min="4" max="4" width="13.85546875" bestFit="1" customWidth="1"/>
    <col min="5" max="5" width="19.140625" bestFit="1" customWidth="1"/>
    <col min="6" max="6" width="17.42578125" bestFit="1" customWidth="1"/>
    <col min="7" max="7" width="19" bestFit="1" customWidth="1"/>
    <col min="8" max="8" width="26.140625" bestFit="1" customWidth="1"/>
    <col min="9" max="9" width="24.7109375" bestFit="1" customWidth="1"/>
    <col min="10" max="10" width="16.42578125" bestFit="1" customWidth="1"/>
    <col min="11" max="11" width="26.140625" bestFit="1" customWidth="1"/>
    <col min="12" max="12" width="22" bestFit="1" customWidth="1"/>
    <col min="13" max="13" width="24.7109375" bestFit="1" customWidth="1"/>
    <col min="14" max="14" width="24.140625" bestFit="1" customWidth="1"/>
    <col min="15" max="15" width="24.140625" hidden="1" customWidth="1"/>
    <col min="16" max="16" width="17.140625" bestFit="1" customWidth="1"/>
    <col min="17" max="17" width="30.5703125" bestFit="1" customWidth="1"/>
    <col min="27" max="29" width="13.85546875" bestFit="1" customWidth="1"/>
  </cols>
  <sheetData>
    <row r="1" spans="1:37" x14ac:dyDescent="0.25">
      <c r="A1" s="18" t="s">
        <v>62</v>
      </c>
      <c r="B1" s="18" t="s">
        <v>108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55</v>
      </c>
      <c r="H1" s="18" t="s">
        <v>57</v>
      </c>
      <c r="I1" s="18" t="s">
        <v>60</v>
      </c>
      <c r="J1" s="18" t="s">
        <v>67</v>
      </c>
      <c r="K1" s="18" t="s">
        <v>68</v>
      </c>
      <c r="L1" s="18" t="s">
        <v>99</v>
      </c>
      <c r="M1" s="22" t="s">
        <v>100</v>
      </c>
      <c r="N1" s="22" t="s">
        <v>101</v>
      </c>
      <c r="O1" s="22" t="s">
        <v>102</v>
      </c>
      <c r="P1" s="18" t="s">
        <v>103</v>
      </c>
      <c r="Q1" s="18" t="s">
        <v>104</v>
      </c>
    </row>
    <row r="2" spans="1:37" x14ac:dyDescent="0.25">
      <c r="A2" s="24">
        <v>100</v>
      </c>
      <c r="B2" s="24">
        <v>-2</v>
      </c>
      <c r="C2" s="24">
        <v>-14</v>
      </c>
      <c r="D2" s="24">
        <v>-7.0000000000000007E-2</v>
      </c>
      <c r="E2" s="24">
        <v>5</v>
      </c>
      <c r="F2" s="24">
        <v>0</v>
      </c>
      <c r="G2" s="24">
        <v>0</v>
      </c>
      <c r="H2" s="24">
        <v>50</v>
      </c>
      <c r="I2" s="24">
        <v>0</v>
      </c>
      <c r="J2" s="24">
        <v>-10</v>
      </c>
      <c r="K2" s="24">
        <v>0</v>
      </c>
      <c r="L2" s="24">
        <v>0</v>
      </c>
      <c r="M2" s="17">
        <v>0</v>
      </c>
      <c r="N2" s="17">
        <v>100</v>
      </c>
      <c r="O2" s="8">
        <v>70.569999999999993</v>
      </c>
      <c r="P2" s="17">
        <v>43.95</v>
      </c>
      <c r="Q2" s="25">
        <f>(P2-O2)/O2</f>
        <v>-0.37721411364602514</v>
      </c>
    </row>
    <row r="3" spans="1:37" x14ac:dyDescent="0.25">
      <c r="A3" s="24">
        <v>0</v>
      </c>
      <c r="B3" s="24">
        <v>5</v>
      </c>
      <c r="C3" s="24">
        <v>85</v>
      </c>
      <c r="D3" s="24">
        <v>0</v>
      </c>
      <c r="E3" s="24">
        <v>5</v>
      </c>
      <c r="F3" s="24">
        <v>-25</v>
      </c>
      <c r="G3" s="24">
        <v>5</v>
      </c>
      <c r="H3" s="24">
        <v>50</v>
      </c>
      <c r="I3" s="24">
        <v>50</v>
      </c>
      <c r="J3" s="24">
        <v>0</v>
      </c>
      <c r="K3" s="24">
        <v>0</v>
      </c>
      <c r="L3" s="24">
        <v>100</v>
      </c>
      <c r="M3" s="17">
        <v>50</v>
      </c>
      <c r="N3" s="17">
        <v>50</v>
      </c>
      <c r="O3" s="8">
        <v>70.569999999999993</v>
      </c>
      <c r="P3" s="17">
        <v>48.3</v>
      </c>
      <c r="Q3" s="25">
        <f t="shared" ref="Q3:Q30" si="0">(P3-O3)/O3</f>
        <v>-0.31557318974068299</v>
      </c>
    </row>
    <row r="4" spans="1:37" x14ac:dyDescent="0.25">
      <c r="A4" s="24">
        <v>0</v>
      </c>
      <c r="B4" s="24">
        <v>-2</v>
      </c>
      <c r="C4" s="24">
        <v>-14</v>
      </c>
      <c r="D4" s="24">
        <v>-7.0000000000000007E-2</v>
      </c>
      <c r="E4" s="24">
        <v>-0.7</v>
      </c>
      <c r="F4" s="24">
        <v>-25</v>
      </c>
      <c r="G4" s="24">
        <v>247</v>
      </c>
      <c r="H4" s="24">
        <v>50</v>
      </c>
      <c r="I4" s="24">
        <v>0</v>
      </c>
      <c r="J4" s="24">
        <v>0</v>
      </c>
      <c r="K4" s="24">
        <v>0</v>
      </c>
      <c r="L4" s="24">
        <v>100</v>
      </c>
      <c r="M4" s="17">
        <v>100</v>
      </c>
      <c r="N4" s="17">
        <v>0</v>
      </c>
      <c r="O4" s="8">
        <v>70.569999999999993</v>
      </c>
      <c r="P4" s="17">
        <v>28.8</v>
      </c>
      <c r="Q4" s="25">
        <f t="shared" si="0"/>
        <v>-0.59189457276463087</v>
      </c>
    </row>
    <row r="5" spans="1:37" x14ac:dyDescent="0.25">
      <c r="A5" s="24">
        <v>-15</v>
      </c>
      <c r="B5" s="24">
        <v>5</v>
      </c>
      <c r="C5" s="24">
        <v>85</v>
      </c>
      <c r="D5" s="24">
        <v>0</v>
      </c>
      <c r="E5" s="24">
        <v>5</v>
      </c>
      <c r="F5" s="24">
        <v>25</v>
      </c>
      <c r="G5" s="24">
        <v>247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17">
        <v>0</v>
      </c>
      <c r="N5" s="17">
        <v>100</v>
      </c>
      <c r="O5" s="8">
        <v>70.569999999999993</v>
      </c>
      <c r="P5" s="17">
        <v>27.06</v>
      </c>
      <c r="Q5" s="25">
        <f t="shared" si="0"/>
        <v>-0.61655094232676766</v>
      </c>
    </row>
    <row r="6" spans="1:37" x14ac:dyDescent="0.25">
      <c r="A6" s="24">
        <v>0</v>
      </c>
      <c r="B6" s="24">
        <v>-2</v>
      </c>
      <c r="C6" s="24">
        <v>85</v>
      </c>
      <c r="D6" s="24">
        <v>7.0000000000000007E-2</v>
      </c>
      <c r="E6" s="24">
        <v>5</v>
      </c>
      <c r="F6" s="24">
        <v>0</v>
      </c>
      <c r="G6" s="24">
        <v>0</v>
      </c>
      <c r="H6" s="24">
        <v>50</v>
      </c>
      <c r="I6" s="24">
        <v>50</v>
      </c>
      <c r="J6" s="24">
        <v>1</v>
      </c>
      <c r="K6" s="24">
        <v>100</v>
      </c>
      <c r="L6" s="24">
        <v>0</v>
      </c>
      <c r="M6" s="17">
        <v>50</v>
      </c>
      <c r="N6" s="17">
        <v>50</v>
      </c>
      <c r="O6" s="8">
        <v>70.569999999999993</v>
      </c>
      <c r="P6" s="17">
        <v>57.37</v>
      </c>
      <c r="Q6" s="25">
        <f t="shared" si="0"/>
        <v>-0.18704832081621081</v>
      </c>
    </row>
    <row r="7" spans="1:37" x14ac:dyDescent="0.25">
      <c r="A7" s="24">
        <v>0</v>
      </c>
      <c r="B7" s="24">
        <v>5</v>
      </c>
      <c r="C7" s="24">
        <v>-14</v>
      </c>
      <c r="D7" s="24">
        <v>0</v>
      </c>
      <c r="E7" s="24">
        <v>-0.7</v>
      </c>
      <c r="F7" s="24">
        <v>25</v>
      </c>
      <c r="G7" s="24">
        <v>5</v>
      </c>
      <c r="H7" s="24">
        <v>50</v>
      </c>
      <c r="I7" s="24">
        <v>0</v>
      </c>
      <c r="J7" s="24">
        <v>-10</v>
      </c>
      <c r="K7" s="24">
        <v>0</v>
      </c>
      <c r="L7" s="24">
        <v>100</v>
      </c>
      <c r="M7" s="17">
        <v>100</v>
      </c>
      <c r="N7" s="17">
        <v>0</v>
      </c>
      <c r="O7" s="8">
        <v>70.569999999999993</v>
      </c>
      <c r="P7" s="17">
        <v>53.07</v>
      </c>
      <c r="Q7" s="25">
        <f t="shared" si="0"/>
        <v>-0.24798072835482493</v>
      </c>
    </row>
    <row r="8" spans="1:37" x14ac:dyDescent="0.25">
      <c r="A8" s="24">
        <v>100</v>
      </c>
      <c r="B8" s="24">
        <v>5</v>
      </c>
      <c r="C8" s="24">
        <v>-14</v>
      </c>
      <c r="D8" s="24">
        <v>0</v>
      </c>
      <c r="E8" s="24">
        <v>-0.7</v>
      </c>
      <c r="F8" s="24">
        <v>0</v>
      </c>
      <c r="G8" s="24">
        <v>0</v>
      </c>
      <c r="H8" s="24">
        <v>50</v>
      </c>
      <c r="I8" s="24">
        <v>0</v>
      </c>
      <c r="J8" s="24">
        <v>1</v>
      </c>
      <c r="K8" s="24">
        <v>0</v>
      </c>
      <c r="L8" s="24">
        <v>100</v>
      </c>
      <c r="M8" s="17">
        <v>0</v>
      </c>
      <c r="N8" s="17">
        <v>100</v>
      </c>
      <c r="O8" s="8">
        <v>70.569999999999993</v>
      </c>
      <c r="P8" s="17">
        <v>49.61</v>
      </c>
      <c r="Q8" s="25">
        <f t="shared" si="0"/>
        <v>-0.2970100609324075</v>
      </c>
    </row>
    <row r="9" spans="1:37" x14ac:dyDescent="0.25">
      <c r="A9" s="24">
        <v>-15</v>
      </c>
      <c r="B9" s="24">
        <v>5</v>
      </c>
      <c r="C9" s="24">
        <v>-14</v>
      </c>
      <c r="D9" s="24">
        <v>0</v>
      </c>
      <c r="E9" s="24">
        <v>0</v>
      </c>
      <c r="F9" s="24">
        <v>-25</v>
      </c>
      <c r="G9" s="24">
        <v>5</v>
      </c>
      <c r="H9" s="24">
        <v>50</v>
      </c>
      <c r="I9" s="24">
        <v>0</v>
      </c>
      <c r="J9" s="24">
        <v>1</v>
      </c>
      <c r="K9" s="24">
        <v>100</v>
      </c>
      <c r="L9" s="24">
        <v>0</v>
      </c>
      <c r="M9" s="17">
        <v>50</v>
      </c>
      <c r="N9" s="17">
        <v>50</v>
      </c>
      <c r="O9" s="8">
        <v>70.569999999999993</v>
      </c>
      <c r="P9" s="17">
        <v>55.19</v>
      </c>
      <c r="Q9" s="25">
        <f t="shared" si="0"/>
        <v>-0.21793963440555472</v>
      </c>
      <c r="V9" t="s">
        <v>109</v>
      </c>
      <c r="X9" t="s">
        <v>110</v>
      </c>
      <c r="AJ9" t="s">
        <v>133</v>
      </c>
    </row>
    <row r="10" spans="1:37" ht="15.75" thickBot="1" x14ac:dyDescent="0.3">
      <c r="A10" s="24">
        <v>-15</v>
      </c>
      <c r="B10" s="24">
        <v>-2</v>
      </c>
      <c r="C10" s="24">
        <v>-14</v>
      </c>
      <c r="D10" s="24">
        <v>7.0000000000000007E-2</v>
      </c>
      <c r="E10" s="24">
        <v>5</v>
      </c>
      <c r="F10" s="24">
        <v>0</v>
      </c>
      <c r="G10" s="24">
        <v>5</v>
      </c>
      <c r="H10" s="24">
        <v>50</v>
      </c>
      <c r="I10" s="24">
        <v>0</v>
      </c>
      <c r="J10" s="24">
        <v>1</v>
      </c>
      <c r="K10" s="24">
        <v>100</v>
      </c>
      <c r="L10" s="24">
        <v>100</v>
      </c>
      <c r="M10" s="17">
        <v>100</v>
      </c>
      <c r="N10" s="17">
        <v>0</v>
      </c>
      <c r="O10" s="8">
        <v>70.569999999999993</v>
      </c>
      <c r="P10" s="17">
        <v>62.93</v>
      </c>
      <c r="Q10" s="25">
        <f t="shared" si="0"/>
        <v>-0.10826130083604923</v>
      </c>
    </row>
    <row r="11" spans="1:37" x14ac:dyDescent="0.25">
      <c r="A11" s="24">
        <v>0</v>
      </c>
      <c r="B11" s="24">
        <v>-2</v>
      </c>
      <c r="C11" s="24">
        <v>-14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50</v>
      </c>
      <c r="J11" s="24">
        <v>-10</v>
      </c>
      <c r="K11" s="24">
        <v>0</v>
      </c>
      <c r="L11" s="24">
        <v>0</v>
      </c>
      <c r="M11" s="17">
        <v>0</v>
      </c>
      <c r="N11" s="17">
        <v>100</v>
      </c>
      <c r="O11" s="8">
        <v>70.569999999999993</v>
      </c>
      <c r="P11" s="17">
        <v>61.63</v>
      </c>
      <c r="Q11" s="25">
        <f t="shared" si="0"/>
        <v>-0.12668272637097905</v>
      </c>
      <c r="U11" s="31"/>
      <c r="V11" s="21" t="s">
        <v>70</v>
      </c>
      <c r="W11" s="21"/>
      <c r="AJ11" t="s">
        <v>134</v>
      </c>
      <c r="AK11">
        <v>46.496551724137937</v>
      </c>
    </row>
    <row r="12" spans="1:37" x14ac:dyDescent="0.25">
      <c r="A12" s="24">
        <v>100</v>
      </c>
      <c r="B12" s="24">
        <v>5</v>
      </c>
      <c r="C12" s="24">
        <v>-14</v>
      </c>
      <c r="D12" s="24">
        <v>7.0000000000000007E-2</v>
      </c>
      <c r="E12" s="24">
        <v>5</v>
      </c>
      <c r="F12" s="24">
        <v>25</v>
      </c>
      <c r="G12" s="24">
        <v>0</v>
      </c>
      <c r="H12" s="24">
        <v>0</v>
      </c>
      <c r="I12" s="24">
        <v>0</v>
      </c>
      <c r="J12" s="24">
        <v>1</v>
      </c>
      <c r="K12" s="24">
        <v>0</v>
      </c>
      <c r="L12" s="24">
        <v>100</v>
      </c>
      <c r="M12" s="17">
        <v>50</v>
      </c>
      <c r="N12" s="17">
        <v>50</v>
      </c>
      <c r="O12" s="8">
        <v>70.569999999999993</v>
      </c>
      <c r="P12" s="17">
        <v>48.59</v>
      </c>
      <c r="Q12" s="25">
        <f t="shared" si="0"/>
        <v>-0.3114637948136601</v>
      </c>
      <c r="V12" t="s">
        <v>71</v>
      </c>
      <c r="W12">
        <v>0.9865491295025195</v>
      </c>
      <c r="AJ12" t="s">
        <v>74</v>
      </c>
      <c r="AK12">
        <v>2.5892305510076592</v>
      </c>
    </row>
    <row r="13" spans="1:37" x14ac:dyDescent="0.25">
      <c r="A13" s="24">
        <v>100</v>
      </c>
      <c r="B13" s="24">
        <v>5</v>
      </c>
      <c r="C13" s="24">
        <v>-14</v>
      </c>
      <c r="D13" s="24">
        <v>7.0000000000000007E-2</v>
      </c>
      <c r="E13" s="24">
        <v>0</v>
      </c>
      <c r="F13" s="24">
        <v>0</v>
      </c>
      <c r="G13" s="24">
        <v>247</v>
      </c>
      <c r="H13" s="24">
        <v>50</v>
      </c>
      <c r="I13" s="24">
        <v>0</v>
      </c>
      <c r="J13" s="24">
        <v>-10</v>
      </c>
      <c r="K13" s="24">
        <v>100</v>
      </c>
      <c r="L13" s="24">
        <v>0</v>
      </c>
      <c r="M13" s="17">
        <v>100</v>
      </c>
      <c r="N13" s="17">
        <v>0</v>
      </c>
      <c r="O13" s="8">
        <v>70.569999999999993</v>
      </c>
      <c r="P13" s="17">
        <v>20.91</v>
      </c>
      <c r="Q13" s="25">
        <f t="shared" si="0"/>
        <v>-0.70369845543432052</v>
      </c>
      <c r="V13" t="s">
        <v>72</v>
      </c>
      <c r="W13">
        <v>0.97327918492217891</v>
      </c>
      <c r="AJ13" t="s">
        <v>135</v>
      </c>
      <c r="AK13">
        <v>49.61</v>
      </c>
    </row>
    <row r="14" spans="1:37" x14ac:dyDescent="0.25">
      <c r="A14" s="24">
        <v>100</v>
      </c>
      <c r="B14" s="24">
        <v>-2</v>
      </c>
      <c r="C14" s="24">
        <v>-14</v>
      </c>
      <c r="D14" s="24">
        <v>7.0000000000000007E-2</v>
      </c>
      <c r="E14" s="24">
        <v>0</v>
      </c>
      <c r="F14" s="24">
        <v>25</v>
      </c>
      <c r="G14" s="24">
        <v>0</v>
      </c>
      <c r="H14" s="24">
        <v>50</v>
      </c>
      <c r="I14" s="24">
        <v>50</v>
      </c>
      <c r="J14" s="24">
        <v>-10</v>
      </c>
      <c r="K14" s="24">
        <v>100</v>
      </c>
      <c r="L14" s="24">
        <v>0</v>
      </c>
      <c r="M14" s="17">
        <v>0</v>
      </c>
      <c r="N14" s="17">
        <v>100</v>
      </c>
      <c r="O14" s="8">
        <v>70.569999999999993</v>
      </c>
      <c r="P14" s="17">
        <v>43.27</v>
      </c>
      <c r="Q14" s="25">
        <f t="shared" si="0"/>
        <v>-0.38684993623352687</v>
      </c>
      <c r="V14" t="s">
        <v>73</v>
      </c>
      <c r="W14">
        <v>0.88345447852140069</v>
      </c>
      <c r="AJ14" t="s">
        <v>136</v>
      </c>
      <c r="AK14" t="e">
        <v>#N/A</v>
      </c>
    </row>
    <row r="15" spans="1:37" x14ac:dyDescent="0.25">
      <c r="A15" s="24">
        <v>-15</v>
      </c>
      <c r="B15" s="24">
        <v>5</v>
      </c>
      <c r="C15" s="24">
        <v>85</v>
      </c>
      <c r="D15" s="24">
        <v>0</v>
      </c>
      <c r="E15" s="24">
        <v>5</v>
      </c>
      <c r="F15" s="24">
        <v>-25</v>
      </c>
      <c r="G15" s="24">
        <v>0</v>
      </c>
      <c r="H15" s="24">
        <v>0</v>
      </c>
      <c r="I15" s="24">
        <v>0</v>
      </c>
      <c r="J15" s="24">
        <v>1</v>
      </c>
      <c r="K15" s="24">
        <v>0</v>
      </c>
      <c r="L15" s="24">
        <v>0</v>
      </c>
      <c r="M15" s="17">
        <v>50</v>
      </c>
      <c r="N15" s="17">
        <v>50</v>
      </c>
      <c r="O15" s="8">
        <v>70.569999999999993</v>
      </c>
      <c r="P15" s="17">
        <v>59.94</v>
      </c>
      <c r="Q15" s="25">
        <f t="shared" si="0"/>
        <v>-0.15063057956638792</v>
      </c>
      <c r="V15" t="s">
        <v>74</v>
      </c>
      <c r="W15">
        <v>4.4127349369366277E-2</v>
      </c>
      <c r="AJ15" t="s">
        <v>137</v>
      </c>
      <c r="AK15">
        <v>13.943433240843927</v>
      </c>
    </row>
    <row r="16" spans="1:37" ht="15.75" thickBot="1" x14ac:dyDescent="0.3">
      <c r="A16" s="24">
        <v>-15</v>
      </c>
      <c r="B16" s="24">
        <v>5</v>
      </c>
      <c r="C16" s="24">
        <v>-14</v>
      </c>
      <c r="D16" s="24">
        <v>-7.0000000000000007E-2</v>
      </c>
      <c r="E16" s="24">
        <v>0</v>
      </c>
      <c r="F16" s="24">
        <v>-25</v>
      </c>
      <c r="G16" s="24">
        <v>247</v>
      </c>
      <c r="H16" s="24">
        <v>50</v>
      </c>
      <c r="I16" s="24">
        <v>0</v>
      </c>
      <c r="J16" s="24">
        <v>-10</v>
      </c>
      <c r="K16" s="24">
        <v>100</v>
      </c>
      <c r="L16" s="24">
        <v>100</v>
      </c>
      <c r="M16" s="17">
        <v>100</v>
      </c>
      <c r="N16" s="17">
        <v>0</v>
      </c>
      <c r="O16" s="8">
        <v>70.569999999999993</v>
      </c>
      <c r="P16" s="17">
        <v>16.02</v>
      </c>
      <c r="Q16" s="25">
        <f t="shared" si="0"/>
        <v>-0.77299135610032599</v>
      </c>
      <c r="V16" s="19" t="s">
        <v>75</v>
      </c>
      <c r="W16" s="19">
        <v>29</v>
      </c>
      <c r="AJ16" t="s">
        <v>138</v>
      </c>
      <c r="AK16">
        <v>194.41933054187135</v>
      </c>
    </row>
    <row r="17" spans="1:37" x14ac:dyDescent="0.25">
      <c r="A17" s="24">
        <v>100</v>
      </c>
      <c r="B17" s="24">
        <v>5</v>
      </c>
      <c r="C17" s="24">
        <v>85</v>
      </c>
      <c r="D17" s="24">
        <v>-7.0000000000000007E-2</v>
      </c>
      <c r="E17" s="24">
        <v>5</v>
      </c>
      <c r="F17" s="24">
        <v>0</v>
      </c>
      <c r="G17" s="24">
        <v>5</v>
      </c>
      <c r="H17" s="24">
        <v>50</v>
      </c>
      <c r="I17" s="24">
        <v>50</v>
      </c>
      <c r="J17" s="24">
        <v>-10</v>
      </c>
      <c r="K17" s="24">
        <v>0</v>
      </c>
      <c r="L17" s="24">
        <v>0</v>
      </c>
      <c r="M17" s="17">
        <v>0</v>
      </c>
      <c r="N17" s="17">
        <v>100</v>
      </c>
      <c r="O17" s="8">
        <v>70.569999999999993</v>
      </c>
      <c r="P17" s="17">
        <v>34.92</v>
      </c>
      <c r="Q17" s="25">
        <f t="shared" si="0"/>
        <v>-0.50517216947711485</v>
      </c>
      <c r="AJ17" t="s">
        <v>139</v>
      </c>
      <c r="AK17">
        <v>-0.5812105704837176</v>
      </c>
    </row>
    <row r="18" spans="1:37" ht="15.75" thickBot="1" x14ac:dyDescent="0.3">
      <c r="A18" s="24">
        <v>0</v>
      </c>
      <c r="B18" s="24">
        <v>-2</v>
      </c>
      <c r="C18" s="24">
        <v>-14</v>
      </c>
      <c r="D18" s="24">
        <v>0</v>
      </c>
      <c r="E18" s="24">
        <v>5</v>
      </c>
      <c r="F18" s="24">
        <v>0</v>
      </c>
      <c r="G18" s="24">
        <v>5</v>
      </c>
      <c r="H18" s="24">
        <v>0</v>
      </c>
      <c r="I18" s="24">
        <v>50</v>
      </c>
      <c r="J18" s="24">
        <v>0</v>
      </c>
      <c r="K18" s="24">
        <v>0</v>
      </c>
      <c r="L18" s="24">
        <v>0</v>
      </c>
      <c r="M18" s="17">
        <v>50</v>
      </c>
      <c r="N18" s="17">
        <v>50</v>
      </c>
      <c r="O18" s="8">
        <v>70.569999999999993</v>
      </c>
      <c r="P18" s="17">
        <v>64.989999999999995</v>
      </c>
      <c r="Q18" s="25">
        <f t="shared" si="0"/>
        <v>-7.9070426526852755E-2</v>
      </c>
      <c r="V18" t="s">
        <v>76</v>
      </c>
      <c r="AJ18" t="s">
        <v>140</v>
      </c>
      <c r="AK18">
        <v>-0.70351992204162472</v>
      </c>
    </row>
    <row r="19" spans="1:37" x14ac:dyDescent="0.25">
      <c r="A19" s="24">
        <v>0</v>
      </c>
      <c r="B19" s="24">
        <v>-2</v>
      </c>
      <c r="C19" s="24">
        <v>85</v>
      </c>
      <c r="D19" s="24">
        <v>-7.0000000000000007E-2</v>
      </c>
      <c r="E19" s="24">
        <v>-0.7</v>
      </c>
      <c r="F19" s="24">
        <v>0</v>
      </c>
      <c r="G19" s="24">
        <v>0</v>
      </c>
      <c r="H19" s="24">
        <v>0</v>
      </c>
      <c r="I19" s="24">
        <v>50</v>
      </c>
      <c r="J19" s="24">
        <v>-10</v>
      </c>
      <c r="K19" s="26">
        <v>0</v>
      </c>
      <c r="L19" s="24">
        <v>100</v>
      </c>
      <c r="M19" s="17">
        <v>100</v>
      </c>
      <c r="N19" s="17">
        <v>0</v>
      </c>
      <c r="O19" s="8">
        <v>70.569999999999993</v>
      </c>
      <c r="P19" s="17">
        <v>53.33</v>
      </c>
      <c r="Q19" s="25">
        <f t="shared" si="0"/>
        <v>-0.24429644324783897</v>
      </c>
      <c r="U19" s="32"/>
      <c r="V19" s="20"/>
      <c r="W19" s="20" t="s">
        <v>81</v>
      </c>
      <c r="X19" s="20" t="s">
        <v>82</v>
      </c>
      <c r="Y19" s="20" t="s">
        <v>83</v>
      </c>
      <c r="Z19" s="20" t="s">
        <v>84</v>
      </c>
      <c r="AA19" s="20" t="s">
        <v>85</v>
      </c>
      <c r="AJ19" t="s">
        <v>141</v>
      </c>
      <c r="AK19">
        <v>48.97</v>
      </c>
    </row>
    <row r="20" spans="1:37" x14ac:dyDescent="0.25">
      <c r="A20" s="24">
        <v>-15</v>
      </c>
      <c r="B20" s="24">
        <v>5</v>
      </c>
      <c r="C20" s="24">
        <v>-14</v>
      </c>
      <c r="D20" s="24">
        <v>0</v>
      </c>
      <c r="E20" s="24">
        <v>0</v>
      </c>
      <c r="F20" s="24">
        <v>-25</v>
      </c>
      <c r="G20" s="24">
        <v>0</v>
      </c>
      <c r="H20" s="24">
        <v>0</v>
      </c>
      <c r="I20" s="24">
        <v>50</v>
      </c>
      <c r="J20" s="27">
        <v>-10</v>
      </c>
      <c r="K20" s="28">
        <v>0</v>
      </c>
      <c r="L20" s="29">
        <v>0</v>
      </c>
      <c r="M20" s="17">
        <v>0</v>
      </c>
      <c r="N20" s="17">
        <v>100</v>
      </c>
      <c r="O20" s="8">
        <v>70.569999999999993</v>
      </c>
      <c r="P20" s="17">
        <v>54.67</v>
      </c>
      <c r="Q20" s="25">
        <f t="shared" si="0"/>
        <v>-0.22530820461952661</v>
      </c>
      <c r="V20" t="s">
        <v>77</v>
      </c>
      <c r="W20">
        <v>14</v>
      </c>
      <c r="X20">
        <v>1.0638849744032419</v>
      </c>
      <c r="Y20">
        <v>7.5991783885945852E-2</v>
      </c>
      <c r="Z20">
        <v>42.027701657690045</v>
      </c>
      <c r="AA20">
        <v>5.5563373391281479E-9</v>
      </c>
      <c r="AJ20" t="s">
        <v>142</v>
      </c>
      <c r="AK20">
        <v>16.02</v>
      </c>
    </row>
    <row r="21" spans="1:37" x14ac:dyDescent="0.25">
      <c r="A21" s="24">
        <v>100</v>
      </c>
      <c r="B21" s="24">
        <v>-2</v>
      </c>
      <c r="C21" s="24">
        <v>-14</v>
      </c>
      <c r="D21" s="24">
        <v>-7.0000000000000007E-2</v>
      </c>
      <c r="E21" s="24">
        <v>-0.7</v>
      </c>
      <c r="F21" s="24">
        <v>0</v>
      </c>
      <c r="G21" s="24">
        <v>5</v>
      </c>
      <c r="H21" s="24">
        <v>50</v>
      </c>
      <c r="I21" s="24">
        <v>50</v>
      </c>
      <c r="J21" s="24">
        <v>-10</v>
      </c>
      <c r="K21" s="30">
        <v>0</v>
      </c>
      <c r="L21" s="24">
        <v>100</v>
      </c>
      <c r="M21" s="17">
        <v>50</v>
      </c>
      <c r="N21" s="17">
        <v>50</v>
      </c>
      <c r="O21" s="8">
        <v>70.569999999999993</v>
      </c>
      <c r="P21" s="17">
        <v>42.81</v>
      </c>
      <c r="Q21" s="25">
        <f t="shared" si="0"/>
        <v>-0.39336828680742514</v>
      </c>
      <c r="V21" t="s">
        <v>78</v>
      </c>
      <c r="W21">
        <v>15</v>
      </c>
      <c r="X21">
        <v>2.9208344435491657E-2</v>
      </c>
      <c r="Y21">
        <v>1.9472229623661104E-3</v>
      </c>
      <c r="AJ21" t="s">
        <v>143</v>
      </c>
      <c r="AK21">
        <v>64.989999999999995</v>
      </c>
    </row>
    <row r="22" spans="1:37" ht="15.75" thickBot="1" x14ac:dyDescent="0.3">
      <c r="A22" s="24">
        <v>100</v>
      </c>
      <c r="B22" s="24">
        <v>5</v>
      </c>
      <c r="C22" s="24">
        <v>85</v>
      </c>
      <c r="D22" s="24">
        <v>0</v>
      </c>
      <c r="E22" s="24">
        <v>-0.7</v>
      </c>
      <c r="F22" s="24">
        <v>-25</v>
      </c>
      <c r="G22" s="24">
        <v>5</v>
      </c>
      <c r="H22" s="24">
        <v>0</v>
      </c>
      <c r="I22" s="24">
        <v>0</v>
      </c>
      <c r="J22" s="24">
        <v>-10</v>
      </c>
      <c r="K22" s="24">
        <v>100</v>
      </c>
      <c r="L22" s="24">
        <v>100</v>
      </c>
      <c r="M22" s="17">
        <v>100</v>
      </c>
      <c r="N22" s="17">
        <v>0</v>
      </c>
      <c r="O22" s="8">
        <v>70.569999999999993</v>
      </c>
      <c r="P22" s="17">
        <v>37.51</v>
      </c>
      <c r="Q22" s="25">
        <f t="shared" si="0"/>
        <v>-0.46847102168060079</v>
      </c>
      <c r="V22" s="19" t="s">
        <v>79</v>
      </c>
      <c r="W22" s="19">
        <v>29</v>
      </c>
      <c r="X22" s="19">
        <v>1.0930933188387335</v>
      </c>
      <c r="Y22" s="19"/>
      <c r="Z22" s="19"/>
      <c r="AA22" s="19"/>
      <c r="AJ22" t="s">
        <v>144</v>
      </c>
      <c r="AK22">
        <v>1348.4</v>
      </c>
    </row>
    <row r="23" spans="1:37" ht="15.75" thickBot="1" x14ac:dyDescent="0.3">
      <c r="A23" s="24">
        <v>-15</v>
      </c>
      <c r="B23" s="24">
        <v>-2</v>
      </c>
      <c r="C23" s="24">
        <v>85</v>
      </c>
      <c r="D23" s="24">
        <v>-7.0000000000000007E-2</v>
      </c>
      <c r="E23" s="24">
        <v>0</v>
      </c>
      <c r="F23" s="24">
        <v>0</v>
      </c>
      <c r="G23" s="24">
        <v>0</v>
      </c>
      <c r="H23" s="24">
        <v>50</v>
      </c>
      <c r="I23" s="24">
        <v>50</v>
      </c>
      <c r="J23" s="24">
        <v>1</v>
      </c>
      <c r="K23" s="24">
        <v>0</v>
      </c>
      <c r="L23" s="24">
        <v>100</v>
      </c>
      <c r="M23" s="17">
        <v>0</v>
      </c>
      <c r="N23" s="17">
        <v>100</v>
      </c>
      <c r="O23" s="8">
        <v>70.569999999999993</v>
      </c>
      <c r="P23" s="17">
        <v>56.25</v>
      </c>
      <c r="Q23" s="25">
        <f t="shared" si="0"/>
        <v>-0.20291908743091958</v>
      </c>
      <c r="AJ23" t="s">
        <v>145</v>
      </c>
      <c r="AK23">
        <v>29</v>
      </c>
    </row>
    <row r="24" spans="1:37" x14ac:dyDescent="0.25">
      <c r="A24" s="24">
        <v>100</v>
      </c>
      <c r="B24" s="24">
        <v>-2</v>
      </c>
      <c r="C24" s="24">
        <v>-14</v>
      </c>
      <c r="D24" s="24">
        <v>7.0000000000000007E-2</v>
      </c>
      <c r="E24" s="24">
        <v>-0.7</v>
      </c>
      <c r="F24" s="24">
        <v>-25</v>
      </c>
      <c r="G24" s="24">
        <v>0</v>
      </c>
      <c r="H24" s="24">
        <v>0</v>
      </c>
      <c r="I24" s="24">
        <v>0</v>
      </c>
      <c r="J24" s="24">
        <v>1</v>
      </c>
      <c r="K24" s="24">
        <v>100</v>
      </c>
      <c r="L24" s="24">
        <v>0</v>
      </c>
      <c r="M24" s="17">
        <v>50</v>
      </c>
      <c r="N24" s="17">
        <v>50</v>
      </c>
      <c r="O24" s="8">
        <v>70.569999999999993</v>
      </c>
      <c r="P24" s="17">
        <v>55.74</v>
      </c>
      <c r="Q24" s="25">
        <f t="shared" si="0"/>
        <v>-0.21014595437154587</v>
      </c>
      <c r="V24" s="20"/>
      <c r="W24" s="20" t="s">
        <v>86</v>
      </c>
      <c r="X24" s="20" t="s">
        <v>74</v>
      </c>
      <c r="Y24" s="20" t="s">
        <v>87</v>
      </c>
      <c r="Z24" s="20" t="s">
        <v>88</v>
      </c>
      <c r="AA24" s="20" t="s">
        <v>89</v>
      </c>
      <c r="AB24" s="20" t="s">
        <v>90</v>
      </c>
      <c r="AC24" s="20" t="s">
        <v>91</v>
      </c>
      <c r="AD24" s="20" t="s">
        <v>92</v>
      </c>
      <c r="AK24">
        <v>1</v>
      </c>
    </row>
    <row r="25" spans="1:37" x14ac:dyDescent="0.25">
      <c r="A25" s="24">
        <v>-15</v>
      </c>
      <c r="B25" s="24">
        <v>-2</v>
      </c>
      <c r="C25" s="24">
        <v>85</v>
      </c>
      <c r="D25" s="24">
        <v>0</v>
      </c>
      <c r="E25" s="24">
        <v>5</v>
      </c>
      <c r="F25" s="24">
        <v>25</v>
      </c>
      <c r="G25" s="24">
        <v>247</v>
      </c>
      <c r="H25" s="24">
        <v>0</v>
      </c>
      <c r="I25" s="24">
        <v>50</v>
      </c>
      <c r="J25" s="24">
        <v>0</v>
      </c>
      <c r="K25" s="24">
        <v>0</v>
      </c>
      <c r="L25" s="24">
        <v>0</v>
      </c>
      <c r="M25" s="17">
        <v>100</v>
      </c>
      <c r="N25" s="17">
        <v>0</v>
      </c>
      <c r="O25" s="8">
        <v>70.569999999999993</v>
      </c>
      <c r="P25" s="17">
        <v>28.56</v>
      </c>
      <c r="Q25" s="25">
        <f t="shared" si="0"/>
        <v>-0.59529545132492556</v>
      </c>
      <c r="V25" t="s">
        <v>80</v>
      </c>
      <c r="W25">
        <v>-8.5021788292353254E-2</v>
      </c>
      <c r="X25">
        <v>2.6373828494352439E-2</v>
      </c>
      <c r="Y25">
        <v>-3.2237181003341777</v>
      </c>
      <c r="Z25">
        <v>5.6811054637351567E-3</v>
      </c>
      <c r="AA25">
        <v>-0.1412362730513122</v>
      </c>
      <c r="AB25">
        <v>-2.8807303533394321E-2</v>
      </c>
      <c r="AC25">
        <v>-0.1412362730513122</v>
      </c>
      <c r="AD25">
        <v>-2.8807303533394321E-2</v>
      </c>
    </row>
    <row r="26" spans="1:37" x14ac:dyDescent="0.25">
      <c r="A26" s="24">
        <v>-15</v>
      </c>
      <c r="B26" s="24">
        <v>5</v>
      </c>
      <c r="C26" s="24">
        <v>-14</v>
      </c>
      <c r="D26" s="24">
        <v>-7.0000000000000007E-2</v>
      </c>
      <c r="E26" s="24">
        <v>-0.7</v>
      </c>
      <c r="F26" s="24">
        <v>-25</v>
      </c>
      <c r="G26" s="24">
        <v>5</v>
      </c>
      <c r="H26" s="24">
        <v>50</v>
      </c>
      <c r="I26" s="24">
        <v>50</v>
      </c>
      <c r="J26" s="24">
        <v>0</v>
      </c>
      <c r="K26" s="24">
        <v>100</v>
      </c>
      <c r="L26" s="24">
        <v>100</v>
      </c>
      <c r="M26" s="17">
        <v>0</v>
      </c>
      <c r="N26" s="17">
        <v>100</v>
      </c>
      <c r="O26" s="8">
        <v>70.569999999999993</v>
      </c>
      <c r="P26" s="17">
        <v>43.17</v>
      </c>
      <c r="Q26" s="25">
        <f t="shared" si="0"/>
        <v>-0.38826696896698304</v>
      </c>
      <c r="V26" t="s">
        <v>62</v>
      </c>
      <c r="W26">
        <v>-1.3124299176473413E-3</v>
      </c>
      <c r="X26">
        <v>1.8426460847932458E-4</v>
      </c>
      <c r="Y26">
        <v>-7.1225284577347505</v>
      </c>
      <c r="Z26">
        <v>3.4919074992669028E-6</v>
      </c>
      <c r="AA26">
        <v>-1.7051806336533474E-3</v>
      </c>
      <c r="AB26">
        <v>-9.1967920164133521E-4</v>
      </c>
      <c r="AC26">
        <v>-1.7051806336533474E-3</v>
      </c>
      <c r="AD26">
        <v>-9.1967920164133521E-4</v>
      </c>
    </row>
    <row r="27" spans="1:37" x14ac:dyDescent="0.25">
      <c r="A27" s="24">
        <v>0</v>
      </c>
      <c r="B27" s="24">
        <v>-2</v>
      </c>
      <c r="C27" s="24">
        <v>-14</v>
      </c>
      <c r="D27" s="24">
        <v>7.0000000000000007E-2</v>
      </c>
      <c r="E27" s="24">
        <v>5</v>
      </c>
      <c r="F27" s="24">
        <v>25</v>
      </c>
      <c r="G27" s="24">
        <v>5</v>
      </c>
      <c r="H27" s="24">
        <v>50</v>
      </c>
      <c r="I27" s="24">
        <v>0</v>
      </c>
      <c r="J27" s="24">
        <v>1</v>
      </c>
      <c r="K27" s="24">
        <v>100</v>
      </c>
      <c r="L27" s="24">
        <v>0</v>
      </c>
      <c r="M27" s="17">
        <v>50</v>
      </c>
      <c r="N27" s="17">
        <v>50</v>
      </c>
      <c r="O27" s="8">
        <v>70.569999999999993</v>
      </c>
      <c r="P27" s="17">
        <v>58.89</v>
      </c>
      <c r="Q27" s="25">
        <f t="shared" si="0"/>
        <v>-0.1655094232676774</v>
      </c>
      <c r="V27" t="s">
        <v>108</v>
      </c>
      <c r="W27">
        <v>-9.1499986826071595E-3</v>
      </c>
      <c r="X27">
        <v>2.760197205040628E-3</v>
      </c>
      <c r="Y27">
        <v>-3.3149800550111341</v>
      </c>
      <c r="Z27">
        <v>4.7119206875482472E-3</v>
      </c>
      <c r="AA27">
        <v>-1.5033219760946365E-2</v>
      </c>
      <c r="AB27">
        <v>-3.2667776042679545E-3</v>
      </c>
      <c r="AC27">
        <v>-1.5033219760946365E-2</v>
      </c>
      <c r="AD27">
        <v>-3.2667776042679545E-3</v>
      </c>
    </row>
    <row r="28" spans="1:37" x14ac:dyDescent="0.25">
      <c r="A28" s="24">
        <v>0</v>
      </c>
      <c r="B28" s="24">
        <v>-2</v>
      </c>
      <c r="C28" s="24">
        <v>85</v>
      </c>
      <c r="D28" s="24">
        <v>7.0000000000000007E-2</v>
      </c>
      <c r="E28" s="24">
        <v>5</v>
      </c>
      <c r="F28" s="24">
        <v>0</v>
      </c>
      <c r="G28" s="24">
        <v>247</v>
      </c>
      <c r="H28" s="24">
        <v>50</v>
      </c>
      <c r="I28" s="24">
        <v>0</v>
      </c>
      <c r="J28" s="24">
        <v>-10</v>
      </c>
      <c r="K28" s="24">
        <v>0</v>
      </c>
      <c r="L28" s="24">
        <v>0</v>
      </c>
      <c r="M28" s="17">
        <v>100</v>
      </c>
      <c r="N28" s="17">
        <v>0</v>
      </c>
      <c r="O28" s="8">
        <v>70.569999999999993</v>
      </c>
      <c r="P28" s="17">
        <v>23.51</v>
      </c>
      <c r="Q28" s="25">
        <f t="shared" si="0"/>
        <v>-0.66685560436446067</v>
      </c>
      <c r="V28" t="s">
        <v>63</v>
      </c>
      <c r="W28">
        <v>-4.0595509873441978E-4</v>
      </c>
      <c r="X28">
        <v>2.0060913781685223E-4</v>
      </c>
      <c r="Y28">
        <v>-2.023612200083527</v>
      </c>
      <c r="Z28">
        <v>6.1203946867273949E-2</v>
      </c>
      <c r="AA28">
        <v>-8.3354335436928756E-4</v>
      </c>
      <c r="AB28">
        <v>2.1633156900447998E-5</v>
      </c>
      <c r="AC28">
        <v>-8.3354335436928756E-4</v>
      </c>
      <c r="AD28">
        <v>2.1633156900447998E-5</v>
      </c>
    </row>
    <row r="29" spans="1:37" x14ac:dyDescent="0.25">
      <c r="A29" s="24">
        <v>-15</v>
      </c>
      <c r="B29" s="24">
        <v>-2</v>
      </c>
      <c r="C29" s="24">
        <v>85</v>
      </c>
      <c r="D29" s="24">
        <v>7.0000000000000007E-2</v>
      </c>
      <c r="E29" s="24">
        <v>-0.7</v>
      </c>
      <c r="F29" s="24">
        <v>0</v>
      </c>
      <c r="G29" s="24">
        <v>5</v>
      </c>
      <c r="H29" s="24">
        <v>50</v>
      </c>
      <c r="I29" s="24">
        <v>0</v>
      </c>
      <c r="J29" s="24">
        <v>-10</v>
      </c>
      <c r="K29" s="24">
        <v>0</v>
      </c>
      <c r="L29" s="24">
        <v>0</v>
      </c>
      <c r="M29" s="17">
        <v>0</v>
      </c>
      <c r="N29" s="17">
        <v>100</v>
      </c>
      <c r="O29" s="8">
        <v>70.569999999999993</v>
      </c>
      <c r="P29" s="17">
        <v>63.23</v>
      </c>
      <c r="Q29" s="25">
        <f t="shared" si="0"/>
        <v>-0.10401020263568084</v>
      </c>
      <c r="V29" t="s">
        <v>64</v>
      </c>
      <c r="W29">
        <v>0.65082427154288713</v>
      </c>
      <c r="X29">
        <v>0.22751717721107886</v>
      </c>
      <c r="Y29">
        <v>2.8605500451470767</v>
      </c>
      <c r="Z29">
        <v>1.1909508749277795E-2</v>
      </c>
      <c r="AA29">
        <v>0.16588288756929048</v>
      </c>
      <c r="AB29">
        <v>1.1357656555164839</v>
      </c>
      <c r="AC29">
        <v>0.16588288756929048</v>
      </c>
      <c r="AD29">
        <v>1.1357656555164839</v>
      </c>
    </row>
    <row r="30" spans="1:37" x14ac:dyDescent="0.25">
      <c r="A30" s="24">
        <v>100</v>
      </c>
      <c r="B30" s="24">
        <v>-2</v>
      </c>
      <c r="C30" s="24">
        <v>-14</v>
      </c>
      <c r="D30" s="24">
        <v>7.0000000000000007E-2</v>
      </c>
      <c r="E30" s="24">
        <v>0</v>
      </c>
      <c r="F30" s="24">
        <v>0</v>
      </c>
      <c r="G30" s="24">
        <v>5</v>
      </c>
      <c r="H30" s="24">
        <v>0</v>
      </c>
      <c r="I30" s="24">
        <v>0</v>
      </c>
      <c r="J30" s="24">
        <v>1</v>
      </c>
      <c r="K30" s="24">
        <v>100</v>
      </c>
      <c r="L30" s="24">
        <v>0</v>
      </c>
      <c r="M30" s="17">
        <v>50</v>
      </c>
      <c r="N30" s="17">
        <v>50</v>
      </c>
      <c r="O30" s="8">
        <v>70.569999999999993</v>
      </c>
      <c r="P30" s="17">
        <v>54.18</v>
      </c>
      <c r="Q30" s="25">
        <f t="shared" si="0"/>
        <v>-0.23225166501346173</v>
      </c>
      <c r="V30" t="s">
        <v>65</v>
      </c>
      <c r="W30">
        <v>-8.8142775882109996E-3</v>
      </c>
      <c r="X30">
        <v>4.3437605325404791E-3</v>
      </c>
      <c r="Y30">
        <v>-2.0291812870853421</v>
      </c>
      <c r="Z30">
        <v>6.0573261450878713E-2</v>
      </c>
      <c r="AA30">
        <v>-1.8072784001314887E-2</v>
      </c>
      <c r="AB30">
        <v>4.4422882489288801E-4</v>
      </c>
      <c r="AC30">
        <v>-1.8072784001314887E-2</v>
      </c>
      <c r="AD30">
        <v>4.4422882489288801E-4</v>
      </c>
    </row>
    <row r="31" spans="1:37" x14ac:dyDescent="0.25">
      <c r="V31" t="s">
        <v>66</v>
      </c>
      <c r="W31">
        <v>-1.9693827546589332E-5</v>
      </c>
      <c r="X31">
        <v>5.8714014849537007E-4</v>
      </c>
      <c r="Y31">
        <v>-3.3541953479177947E-2</v>
      </c>
      <c r="Z31">
        <v>0.97368468027304278</v>
      </c>
      <c r="AA31">
        <v>-1.2711534302369441E-3</v>
      </c>
      <c r="AB31">
        <v>1.2317657751437655E-3</v>
      </c>
      <c r="AC31">
        <v>-1.2711534302369441E-3</v>
      </c>
      <c r="AD31">
        <v>1.2317657751437655E-3</v>
      </c>
    </row>
    <row r="32" spans="1:37" x14ac:dyDescent="0.25">
      <c r="V32" t="s">
        <v>55</v>
      </c>
      <c r="W32">
        <v>-1.8079046233707805E-3</v>
      </c>
      <c r="X32">
        <v>1.0999286306340446E-4</v>
      </c>
      <c r="Y32">
        <v>-16.436563000716045</v>
      </c>
      <c r="Z32">
        <v>5.3027341814205884E-11</v>
      </c>
      <c r="AA32">
        <v>-2.0423488613620926E-3</v>
      </c>
      <c r="AB32">
        <v>-1.5734603853794686E-3</v>
      </c>
      <c r="AC32">
        <v>-2.0423488613620926E-3</v>
      </c>
      <c r="AD32">
        <v>-1.5734603853794686E-3</v>
      </c>
    </row>
    <row r="33" spans="22:30" x14ac:dyDescent="0.25">
      <c r="V33" t="s">
        <v>57</v>
      </c>
      <c r="W33">
        <v>-4.2289834556885619E-4</v>
      </c>
      <c r="X33">
        <v>3.9812148820652418E-4</v>
      </c>
      <c r="Y33">
        <v>-1.0622344136056256</v>
      </c>
      <c r="Z33">
        <v>0.30493277782705985</v>
      </c>
      <c r="AA33">
        <v>-1.2714742106842332E-3</v>
      </c>
      <c r="AB33">
        <v>4.2567751954652078E-4</v>
      </c>
      <c r="AC33">
        <v>-1.2714742106842332E-3</v>
      </c>
      <c r="AD33">
        <v>4.2567751954652078E-4</v>
      </c>
    </row>
    <row r="34" spans="22:30" x14ac:dyDescent="0.25">
      <c r="V34" t="s">
        <v>60</v>
      </c>
      <c r="W34">
        <v>-6.3775589890703696E-4</v>
      </c>
      <c r="X34">
        <v>4.2376845460276584E-4</v>
      </c>
      <c r="Y34">
        <v>-1.5049631278120021</v>
      </c>
      <c r="Z34">
        <v>0.15309789861239759</v>
      </c>
      <c r="AA34">
        <v>-1.54099697889267E-3</v>
      </c>
      <c r="AB34">
        <v>2.6548518107859611E-4</v>
      </c>
      <c r="AC34">
        <v>-1.54099697889267E-3</v>
      </c>
      <c r="AD34">
        <v>2.6548518107859611E-4</v>
      </c>
    </row>
    <row r="35" spans="22:30" x14ac:dyDescent="0.25">
      <c r="V35" t="s">
        <v>67</v>
      </c>
      <c r="W35">
        <v>6.623559350695799E-3</v>
      </c>
      <c r="X35">
        <v>2.0369129700762794E-3</v>
      </c>
      <c r="Y35">
        <v>3.2517635500390361</v>
      </c>
      <c r="Z35">
        <v>5.3638879790843322E-3</v>
      </c>
      <c r="AA35">
        <v>2.2819821262819034E-3</v>
      </c>
      <c r="AB35">
        <v>1.0965136575109695E-2</v>
      </c>
      <c r="AC35">
        <v>2.2819821262819034E-3</v>
      </c>
      <c r="AD35">
        <v>1.0965136575109695E-2</v>
      </c>
    </row>
    <row r="36" spans="22:30" x14ac:dyDescent="0.25">
      <c r="V36" t="s">
        <v>68</v>
      </c>
      <c r="W36">
        <v>-8.2832794274418427E-4</v>
      </c>
      <c r="X36">
        <v>2.3440969627491127E-4</v>
      </c>
      <c r="Y36">
        <v>-3.5336761060120008</v>
      </c>
      <c r="Z36">
        <v>3.0083116666416495E-3</v>
      </c>
      <c r="AA36">
        <v>-1.3279603833441485E-3</v>
      </c>
      <c r="AB36">
        <v>-3.2869550214421992E-4</v>
      </c>
      <c r="AC36">
        <v>-1.3279603833441485E-3</v>
      </c>
      <c r="AD36">
        <v>-3.2869550214421992E-4</v>
      </c>
    </row>
    <row r="37" spans="22:30" x14ac:dyDescent="0.25">
      <c r="V37" t="s">
        <v>99</v>
      </c>
      <c r="W37">
        <v>-5.4057110208181403E-4</v>
      </c>
      <c r="X37">
        <v>2.7135867758529389E-4</v>
      </c>
      <c r="Y37">
        <v>-1.9920907151086069</v>
      </c>
      <c r="Z37">
        <v>6.4887849950146126E-2</v>
      </c>
      <c r="AA37">
        <v>-1.1189584321046899E-3</v>
      </c>
      <c r="AB37">
        <v>3.7816227941061945E-5</v>
      </c>
      <c r="AC37">
        <v>-1.1189584321046899E-3</v>
      </c>
      <c r="AD37">
        <v>3.7816227941061945E-5</v>
      </c>
    </row>
    <row r="38" spans="22:30" x14ac:dyDescent="0.25">
      <c r="V38" t="s">
        <v>100</v>
      </c>
      <c r="W38">
        <v>3.9581599282993143E-4</v>
      </c>
      <c r="X38">
        <v>3.1925391539748554E-4</v>
      </c>
      <c r="Y38">
        <v>1.2398156255566126</v>
      </c>
      <c r="Z38">
        <v>0.23409000804500507</v>
      </c>
      <c r="AA38">
        <v>-2.8465762006221773E-4</v>
      </c>
      <c r="AB38">
        <v>1.0762896057220806E-3</v>
      </c>
      <c r="AC38">
        <v>-2.8465762006221773E-4</v>
      </c>
      <c r="AD38">
        <v>1.0762896057220806E-3</v>
      </c>
    </row>
    <row r="39" spans="22:30" ht="15.75" thickBot="1" x14ac:dyDescent="0.3">
      <c r="V39" s="19" t="s">
        <v>101</v>
      </c>
      <c r="W39" s="19">
        <v>0</v>
      </c>
      <c r="X39" s="19">
        <v>0</v>
      </c>
      <c r="Y39" s="19">
        <v>65535</v>
      </c>
      <c r="Z39" s="19" t="e">
        <v>#NUM!</v>
      </c>
      <c r="AA39" s="19">
        <v>0</v>
      </c>
      <c r="AB39" s="19">
        <v>0</v>
      </c>
      <c r="AC39" s="19">
        <v>0</v>
      </c>
      <c r="AD39" s="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0B1B-4F1D-4FC4-A695-0DED9296623D}">
  <dimension ref="A1:AD41"/>
  <sheetViews>
    <sheetView topLeftCell="I3" zoomScale="80" zoomScaleNormal="80" workbookViewId="0">
      <selection activeCell="N45" sqref="N45"/>
    </sheetView>
  </sheetViews>
  <sheetFormatPr defaultRowHeight="15" x14ac:dyDescent="0.25"/>
  <cols>
    <col min="1" max="1" width="11.42578125" bestFit="1" customWidth="1"/>
    <col min="2" max="2" width="26.85546875" bestFit="1" customWidth="1"/>
    <col min="3" max="3" width="12.42578125" bestFit="1" customWidth="1"/>
    <col min="4" max="4" width="13.85546875" bestFit="1" customWidth="1"/>
    <col min="5" max="5" width="19.140625" bestFit="1" customWidth="1"/>
    <col min="6" max="6" width="17.42578125" bestFit="1" customWidth="1"/>
    <col min="7" max="7" width="19" bestFit="1" customWidth="1"/>
    <col min="8" max="8" width="26.140625" bestFit="1" customWidth="1"/>
    <col min="9" max="9" width="24.7109375" bestFit="1" customWidth="1"/>
    <col min="10" max="10" width="16.42578125" bestFit="1" customWidth="1"/>
    <col min="11" max="11" width="26.140625" bestFit="1" customWidth="1"/>
    <col min="12" max="12" width="22" bestFit="1" customWidth="1"/>
    <col min="13" max="13" width="24.7109375" bestFit="1" customWidth="1"/>
    <col min="14" max="14" width="24.140625" bestFit="1" customWidth="1"/>
    <col min="15" max="15" width="24.140625" hidden="1" customWidth="1"/>
    <col min="16" max="16" width="24.28515625" hidden="1" customWidth="1"/>
    <col min="17" max="17" width="14.5703125" hidden="1" customWidth="1"/>
    <col min="18" max="18" width="16.7109375" bestFit="1" customWidth="1"/>
    <col min="22" max="22" width="33.140625" bestFit="1" customWidth="1"/>
  </cols>
  <sheetData>
    <row r="1" spans="1:24" x14ac:dyDescent="0.25">
      <c r="A1" s="18" t="s">
        <v>62</v>
      </c>
      <c r="B1" s="18" t="s">
        <v>56</v>
      </c>
      <c r="C1" s="18" t="s">
        <v>63</v>
      </c>
      <c r="D1" s="18" t="s">
        <v>64</v>
      </c>
      <c r="E1" s="18" t="s">
        <v>65</v>
      </c>
      <c r="F1" s="18" t="s">
        <v>66</v>
      </c>
      <c r="G1" s="18" t="s">
        <v>55</v>
      </c>
      <c r="H1" s="18" t="s">
        <v>57</v>
      </c>
      <c r="I1" s="18" t="s">
        <v>60</v>
      </c>
      <c r="J1" s="18" t="s">
        <v>67</v>
      </c>
      <c r="K1" s="18" t="s">
        <v>68</v>
      </c>
      <c r="L1" s="18" t="s">
        <v>99</v>
      </c>
      <c r="M1" s="22" t="s">
        <v>100</v>
      </c>
      <c r="N1" s="22" t="s">
        <v>101</v>
      </c>
      <c r="O1" s="22" t="s">
        <v>102</v>
      </c>
      <c r="P1" s="18" t="s">
        <v>105</v>
      </c>
      <c r="Q1" s="18" t="s">
        <v>106</v>
      </c>
      <c r="R1" s="18" t="s">
        <v>107</v>
      </c>
    </row>
    <row r="2" spans="1:24" x14ac:dyDescent="0.25">
      <c r="A2" s="24">
        <v>100</v>
      </c>
      <c r="B2" s="24">
        <v>0.02</v>
      </c>
      <c r="C2" s="24">
        <v>-14</v>
      </c>
      <c r="D2" s="24">
        <v>-7.0000000000000007E-2</v>
      </c>
      <c r="E2" s="24">
        <v>5</v>
      </c>
      <c r="F2" s="24">
        <v>0</v>
      </c>
      <c r="G2" s="24">
        <v>0</v>
      </c>
      <c r="H2" s="24">
        <v>50</v>
      </c>
      <c r="I2" s="24">
        <v>0</v>
      </c>
      <c r="J2" s="24">
        <v>-10</v>
      </c>
      <c r="K2" s="24">
        <v>0</v>
      </c>
      <c r="L2" s="24">
        <v>0</v>
      </c>
      <c r="M2" s="17">
        <v>0</v>
      </c>
      <c r="N2" s="17">
        <v>100</v>
      </c>
      <c r="O2" s="8">
        <v>70.569999999999993</v>
      </c>
      <c r="P2" s="8">
        <v>24.91</v>
      </c>
      <c r="Q2" s="17">
        <v>29.41</v>
      </c>
      <c r="R2" s="25">
        <f>(Q2-P2)/P2</f>
        <v>0.18065034122842233</v>
      </c>
    </row>
    <row r="3" spans="1:24" x14ac:dyDescent="0.25">
      <c r="A3" s="24">
        <v>0</v>
      </c>
      <c r="B3" s="24">
        <v>-0.05</v>
      </c>
      <c r="C3" s="24">
        <v>85</v>
      </c>
      <c r="D3" s="24">
        <v>0</v>
      </c>
      <c r="E3" s="24">
        <v>5</v>
      </c>
      <c r="F3" s="24">
        <v>-25</v>
      </c>
      <c r="G3" s="24">
        <v>5</v>
      </c>
      <c r="H3" s="24">
        <v>50</v>
      </c>
      <c r="I3" s="24">
        <v>50</v>
      </c>
      <c r="J3" s="24">
        <v>0</v>
      </c>
      <c r="K3" s="24">
        <v>0</v>
      </c>
      <c r="L3" s="24">
        <v>100</v>
      </c>
      <c r="M3" s="17">
        <v>50</v>
      </c>
      <c r="N3" s="17">
        <v>50</v>
      </c>
      <c r="O3" s="8">
        <v>70.569999999999993</v>
      </c>
      <c r="P3" s="8">
        <v>24.91</v>
      </c>
      <c r="Q3" s="17">
        <v>27.06</v>
      </c>
      <c r="R3" s="25">
        <f t="shared" ref="R3:R30" si="0">(Q3-P3)/P3</f>
        <v>8.6310718586912832E-2</v>
      </c>
    </row>
    <row r="4" spans="1:24" x14ac:dyDescent="0.25">
      <c r="A4" s="24">
        <v>0</v>
      </c>
      <c r="B4" s="24">
        <v>0.02</v>
      </c>
      <c r="C4" s="24">
        <v>-14</v>
      </c>
      <c r="D4" s="24">
        <v>-7.0000000000000007E-2</v>
      </c>
      <c r="E4" s="24">
        <v>-0.7</v>
      </c>
      <c r="F4" s="24">
        <v>-25</v>
      </c>
      <c r="G4" s="24">
        <v>247</v>
      </c>
      <c r="H4" s="24">
        <v>50</v>
      </c>
      <c r="I4" s="24">
        <v>0</v>
      </c>
      <c r="J4" s="24">
        <v>0</v>
      </c>
      <c r="K4" s="24">
        <v>0</v>
      </c>
      <c r="L4" s="24">
        <v>100</v>
      </c>
      <c r="M4" s="17">
        <v>100</v>
      </c>
      <c r="N4" s="17">
        <v>0</v>
      </c>
      <c r="O4" s="8">
        <v>70.569999999999993</v>
      </c>
      <c r="P4" s="8">
        <v>24.91</v>
      </c>
      <c r="Q4" s="17">
        <v>30.74</v>
      </c>
      <c r="R4" s="25">
        <f t="shared" si="0"/>
        <v>0.23404255319148928</v>
      </c>
    </row>
    <row r="5" spans="1:24" x14ac:dyDescent="0.25">
      <c r="A5" s="24">
        <v>-15</v>
      </c>
      <c r="B5" s="24">
        <v>-0.05</v>
      </c>
      <c r="C5" s="24">
        <v>85</v>
      </c>
      <c r="D5" s="24">
        <v>0</v>
      </c>
      <c r="E5" s="24">
        <v>5</v>
      </c>
      <c r="F5" s="24">
        <v>25</v>
      </c>
      <c r="G5" s="24">
        <v>247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17">
        <v>0</v>
      </c>
      <c r="N5" s="17">
        <v>100</v>
      </c>
      <c r="O5" s="8">
        <v>70.569999999999993</v>
      </c>
      <c r="P5" s="8">
        <v>24.91</v>
      </c>
      <c r="Q5" s="17">
        <v>32.49</v>
      </c>
      <c r="R5" s="25">
        <f t="shared" si="0"/>
        <v>0.30429546366920923</v>
      </c>
    </row>
    <row r="6" spans="1:24" x14ac:dyDescent="0.25">
      <c r="A6" s="24">
        <v>0</v>
      </c>
      <c r="B6" s="24">
        <v>0.02</v>
      </c>
      <c r="C6" s="24">
        <v>85</v>
      </c>
      <c r="D6" s="24">
        <v>7.0000000000000007E-2</v>
      </c>
      <c r="E6" s="24">
        <v>5</v>
      </c>
      <c r="F6" s="24">
        <v>0</v>
      </c>
      <c r="G6" s="24">
        <v>0</v>
      </c>
      <c r="H6" s="24">
        <v>50</v>
      </c>
      <c r="I6" s="24">
        <v>50</v>
      </c>
      <c r="J6" s="24">
        <v>1</v>
      </c>
      <c r="K6" s="24">
        <v>100</v>
      </c>
      <c r="L6" s="24">
        <v>0</v>
      </c>
      <c r="M6" s="17">
        <v>50</v>
      </c>
      <c r="N6" s="17">
        <v>50</v>
      </c>
      <c r="O6" s="8">
        <v>70.569999999999993</v>
      </c>
      <c r="P6" s="8">
        <v>24.91</v>
      </c>
      <c r="Q6" s="17">
        <v>27.71</v>
      </c>
      <c r="R6" s="25">
        <f t="shared" si="0"/>
        <v>0.1124046567643517</v>
      </c>
    </row>
    <row r="7" spans="1:24" x14ac:dyDescent="0.25">
      <c r="A7" s="24">
        <v>0</v>
      </c>
      <c r="B7" s="24">
        <v>-0.05</v>
      </c>
      <c r="C7" s="24">
        <v>-14</v>
      </c>
      <c r="D7" s="24">
        <v>0</v>
      </c>
      <c r="E7" s="24">
        <v>-0.7</v>
      </c>
      <c r="F7" s="24">
        <v>25</v>
      </c>
      <c r="G7" s="24">
        <v>5</v>
      </c>
      <c r="H7" s="24">
        <v>50</v>
      </c>
      <c r="I7" s="24">
        <v>0</v>
      </c>
      <c r="J7" s="24">
        <v>-10</v>
      </c>
      <c r="K7" s="24">
        <v>0</v>
      </c>
      <c r="L7" s="24">
        <v>100</v>
      </c>
      <c r="M7" s="17">
        <v>100</v>
      </c>
      <c r="N7" s="17">
        <v>0</v>
      </c>
      <c r="O7" s="8">
        <v>70.569999999999993</v>
      </c>
      <c r="P7" s="8">
        <v>24.91</v>
      </c>
      <c r="Q7" s="17">
        <v>24.49</v>
      </c>
      <c r="R7" s="25">
        <f t="shared" si="0"/>
        <v>-1.6860698514652817E-2</v>
      </c>
    </row>
    <row r="8" spans="1:24" x14ac:dyDescent="0.25">
      <c r="A8" s="24">
        <v>100</v>
      </c>
      <c r="B8" s="24">
        <v>-0.05</v>
      </c>
      <c r="C8" s="24">
        <v>-14</v>
      </c>
      <c r="D8" s="24">
        <v>0</v>
      </c>
      <c r="E8" s="24">
        <v>-0.7</v>
      </c>
      <c r="F8" s="24">
        <v>0</v>
      </c>
      <c r="G8" s="24">
        <v>0</v>
      </c>
      <c r="H8" s="24">
        <v>50</v>
      </c>
      <c r="I8" s="24">
        <v>0</v>
      </c>
      <c r="J8" s="24">
        <v>1</v>
      </c>
      <c r="K8" s="24">
        <v>0</v>
      </c>
      <c r="L8" s="24">
        <v>100</v>
      </c>
      <c r="M8" s="17">
        <v>0</v>
      </c>
      <c r="N8" s="17">
        <v>100</v>
      </c>
      <c r="O8" s="8">
        <v>70.569999999999993</v>
      </c>
      <c r="P8" s="8">
        <v>24.91</v>
      </c>
      <c r="Q8" s="17">
        <v>24.92</v>
      </c>
      <c r="R8" s="25">
        <f t="shared" si="0"/>
        <v>4.0144520272989012E-4</v>
      </c>
    </row>
    <row r="9" spans="1:24" x14ac:dyDescent="0.25">
      <c r="A9" s="24">
        <v>-15</v>
      </c>
      <c r="B9" s="24">
        <v>-0.05</v>
      </c>
      <c r="C9" s="24">
        <v>-14</v>
      </c>
      <c r="D9" s="24">
        <v>0</v>
      </c>
      <c r="E9" s="24">
        <v>0</v>
      </c>
      <c r="F9" s="24">
        <v>-25</v>
      </c>
      <c r="G9" s="24">
        <v>5</v>
      </c>
      <c r="H9" s="24">
        <v>50</v>
      </c>
      <c r="I9" s="24">
        <v>0</v>
      </c>
      <c r="J9" s="24">
        <v>1</v>
      </c>
      <c r="K9" s="24">
        <v>100</v>
      </c>
      <c r="L9" s="24">
        <v>0</v>
      </c>
      <c r="M9" s="17">
        <v>50</v>
      </c>
      <c r="N9" s="17">
        <v>50</v>
      </c>
      <c r="O9" s="8">
        <v>70.569999999999993</v>
      </c>
      <c r="P9" s="8">
        <v>24.91</v>
      </c>
      <c r="Q9" s="17">
        <v>22.88</v>
      </c>
      <c r="R9" s="25">
        <f t="shared" si="0"/>
        <v>-8.1493376154155001E-2</v>
      </c>
    </row>
    <row r="10" spans="1:24" x14ac:dyDescent="0.25">
      <c r="A10" s="24">
        <v>-15</v>
      </c>
      <c r="B10" s="24">
        <v>0.02</v>
      </c>
      <c r="C10" s="24">
        <v>-14</v>
      </c>
      <c r="D10" s="24">
        <v>7.0000000000000007E-2</v>
      </c>
      <c r="E10" s="24">
        <v>5</v>
      </c>
      <c r="F10" s="24">
        <v>0</v>
      </c>
      <c r="G10" s="24">
        <v>5</v>
      </c>
      <c r="H10" s="24">
        <v>50</v>
      </c>
      <c r="I10" s="24">
        <v>0</v>
      </c>
      <c r="J10" s="24">
        <v>1</v>
      </c>
      <c r="K10" s="24">
        <v>100</v>
      </c>
      <c r="L10" s="24">
        <v>100</v>
      </c>
      <c r="M10" s="17">
        <v>100</v>
      </c>
      <c r="N10" s="17">
        <v>0</v>
      </c>
      <c r="O10" s="8">
        <v>70.569999999999993</v>
      </c>
      <c r="P10" s="8">
        <v>24.91</v>
      </c>
      <c r="Q10" s="17">
        <v>25.88</v>
      </c>
      <c r="R10" s="25">
        <f t="shared" si="0"/>
        <v>3.8940184664793209E-2</v>
      </c>
    </row>
    <row r="11" spans="1:24" x14ac:dyDescent="0.25">
      <c r="A11" s="24">
        <v>0</v>
      </c>
      <c r="B11" s="24">
        <v>0.02</v>
      </c>
      <c r="C11" s="24">
        <v>-14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50</v>
      </c>
      <c r="J11" s="24">
        <v>-10</v>
      </c>
      <c r="K11" s="24">
        <v>0</v>
      </c>
      <c r="L11" s="24">
        <v>0</v>
      </c>
      <c r="M11" s="17">
        <v>0</v>
      </c>
      <c r="N11" s="17">
        <v>100</v>
      </c>
      <c r="O11" s="8">
        <v>70.569999999999993</v>
      </c>
      <c r="P11" s="8">
        <v>24.91</v>
      </c>
      <c r="Q11" s="17">
        <v>26.01</v>
      </c>
      <c r="R11" s="25">
        <f t="shared" si="0"/>
        <v>4.4158972300281069E-2</v>
      </c>
      <c r="V11" t="s">
        <v>109</v>
      </c>
      <c r="X11" t="s">
        <v>111</v>
      </c>
    </row>
    <row r="12" spans="1:24" ht="15.75" thickBot="1" x14ac:dyDescent="0.3">
      <c r="A12" s="24">
        <v>100</v>
      </c>
      <c r="B12" s="24">
        <v>-0.05</v>
      </c>
      <c r="C12" s="24">
        <v>-14</v>
      </c>
      <c r="D12" s="24">
        <v>7.0000000000000007E-2</v>
      </c>
      <c r="E12" s="24">
        <v>5</v>
      </c>
      <c r="F12" s="24">
        <v>25</v>
      </c>
      <c r="G12" s="24">
        <v>0</v>
      </c>
      <c r="H12" s="24">
        <v>0</v>
      </c>
      <c r="I12" s="24">
        <v>0</v>
      </c>
      <c r="J12" s="24">
        <v>1</v>
      </c>
      <c r="K12" s="24">
        <v>0</v>
      </c>
      <c r="L12" s="24">
        <v>100</v>
      </c>
      <c r="M12" s="17">
        <v>50</v>
      </c>
      <c r="N12" s="17">
        <v>50</v>
      </c>
      <c r="O12" s="8">
        <v>70.569999999999993</v>
      </c>
      <c r="P12" s="8">
        <v>24.91</v>
      </c>
      <c r="Q12" s="17">
        <v>30.02</v>
      </c>
      <c r="R12" s="25">
        <f t="shared" si="0"/>
        <v>0.20513849859494176</v>
      </c>
    </row>
    <row r="13" spans="1:24" x14ac:dyDescent="0.25">
      <c r="A13" s="24">
        <v>100</v>
      </c>
      <c r="B13" s="24">
        <v>-0.05</v>
      </c>
      <c r="C13" s="24">
        <v>-14</v>
      </c>
      <c r="D13" s="24">
        <v>7.0000000000000007E-2</v>
      </c>
      <c r="E13" s="24">
        <v>0</v>
      </c>
      <c r="F13" s="24">
        <v>0</v>
      </c>
      <c r="G13" s="24">
        <v>247</v>
      </c>
      <c r="H13" s="24">
        <v>50</v>
      </c>
      <c r="I13" s="24">
        <v>0</v>
      </c>
      <c r="J13" s="24">
        <v>-10</v>
      </c>
      <c r="K13" s="24">
        <v>100</v>
      </c>
      <c r="L13" s="24">
        <v>0</v>
      </c>
      <c r="M13" s="17">
        <v>100</v>
      </c>
      <c r="N13" s="17">
        <v>0</v>
      </c>
      <c r="O13" s="8">
        <v>70.569999999999993</v>
      </c>
      <c r="P13" s="8">
        <v>24.91</v>
      </c>
      <c r="Q13" s="17">
        <v>33.979999999999997</v>
      </c>
      <c r="R13" s="25">
        <f t="shared" si="0"/>
        <v>0.36411079887595332</v>
      </c>
      <c r="V13" s="21" t="s">
        <v>70</v>
      </c>
      <c r="W13" s="21"/>
    </row>
    <row r="14" spans="1:24" x14ac:dyDescent="0.25">
      <c r="A14" s="24">
        <v>100</v>
      </c>
      <c r="B14" s="24">
        <v>0.02</v>
      </c>
      <c r="C14" s="24">
        <v>-14</v>
      </c>
      <c r="D14" s="24">
        <v>7.0000000000000007E-2</v>
      </c>
      <c r="E14" s="24">
        <v>0</v>
      </c>
      <c r="F14" s="24">
        <v>25</v>
      </c>
      <c r="G14" s="24">
        <v>0</v>
      </c>
      <c r="H14" s="24">
        <v>50</v>
      </c>
      <c r="I14" s="24">
        <v>50</v>
      </c>
      <c r="J14" s="24">
        <v>-10</v>
      </c>
      <c r="K14" s="24">
        <v>100</v>
      </c>
      <c r="L14" s="24">
        <v>0</v>
      </c>
      <c r="M14" s="17">
        <v>0</v>
      </c>
      <c r="N14" s="17">
        <v>100</v>
      </c>
      <c r="O14" s="8">
        <v>70.569999999999993</v>
      </c>
      <c r="P14" s="8">
        <v>24.91</v>
      </c>
      <c r="Q14" s="17">
        <v>28.13</v>
      </c>
      <c r="R14" s="25">
        <f t="shared" si="0"/>
        <v>0.12926535527900437</v>
      </c>
      <c r="V14" t="s">
        <v>71</v>
      </c>
      <c r="W14">
        <v>0.97444929966978544</v>
      </c>
    </row>
    <row r="15" spans="1:24" x14ac:dyDescent="0.25">
      <c r="A15" s="24">
        <v>-15</v>
      </c>
      <c r="B15" s="24">
        <v>-0.05</v>
      </c>
      <c r="C15" s="24">
        <v>85</v>
      </c>
      <c r="D15" s="24">
        <v>0</v>
      </c>
      <c r="E15" s="24">
        <v>5</v>
      </c>
      <c r="F15" s="24">
        <v>-25</v>
      </c>
      <c r="G15" s="24">
        <v>0</v>
      </c>
      <c r="H15" s="24">
        <v>0</v>
      </c>
      <c r="I15" s="24">
        <v>0</v>
      </c>
      <c r="J15" s="24">
        <v>1</v>
      </c>
      <c r="K15" s="24">
        <v>0</v>
      </c>
      <c r="L15" s="24">
        <v>0</v>
      </c>
      <c r="M15" s="17">
        <v>50</v>
      </c>
      <c r="N15" s="17">
        <v>50</v>
      </c>
      <c r="O15" s="8">
        <v>70.569999999999993</v>
      </c>
      <c r="P15" s="8">
        <v>24.91</v>
      </c>
      <c r="Q15" s="17">
        <v>25.93</v>
      </c>
      <c r="R15" s="25">
        <f t="shared" si="0"/>
        <v>4.0947410678442375E-2</v>
      </c>
      <c r="V15" t="s">
        <v>72</v>
      </c>
      <c r="W15">
        <v>0.94955143762693539</v>
      </c>
    </row>
    <row r="16" spans="1:24" x14ac:dyDescent="0.25">
      <c r="A16" s="24">
        <v>-15</v>
      </c>
      <c r="B16" s="24">
        <v>-0.05</v>
      </c>
      <c r="C16" s="24">
        <v>-14</v>
      </c>
      <c r="D16" s="24">
        <v>-7.0000000000000007E-2</v>
      </c>
      <c r="E16" s="24">
        <v>0</v>
      </c>
      <c r="F16" s="24">
        <v>-25</v>
      </c>
      <c r="G16" s="24">
        <v>247</v>
      </c>
      <c r="H16" s="24">
        <v>50</v>
      </c>
      <c r="I16" s="24">
        <v>0</v>
      </c>
      <c r="J16" s="24">
        <v>-10</v>
      </c>
      <c r="K16" s="24">
        <v>100</v>
      </c>
      <c r="L16" s="24">
        <v>100</v>
      </c>
      <c r="M16" s="17">
        <v>100</v>
      </c>
      <c r="N16" s="17">
        <v>0</v>
      </c>
      <c r="O16" s="8">
        <v>70.569999999999993</v>
      </c>
      <c r="P16" s="8">
        <v>24.91</v>
      </c>
      <c r="Q16" s="17">
        <v>32.92</v>
      </c>
      <c r="R16" s="25">
        <f t="shared" si="0"/>
        <v>0.32155760738659178</v>
      </c>
      <c r="V16" t="s">
        <v>73</v>
      </c>
      <c r="W16">
        <v>0.83916268357027946</v>
      </c>
    </row>
    <row r="17" spans="1:30" x14ac:dyDescent="0.25">
      <c r="A17" s="24">
        <v>100</v>
      </c>
      <c r="B17" s="24">
        <v>-0.05</v>
      </c>
      <c r="C17" s="24">
        <v>85</v>
      </c>
      <c r="D17" s="24">
        <v>-7.0000000000000007E-2</v>
      </c>
      <c r="E17" s="24">
        <v>5</v>
      </c>
      <c r="F17" s="24">
        <v>0</v>
      </c>
      <c r="G17" s="24">
        <v>5</v>
      </c>
      <c r="H17" s="24">
        <v>50</v>
      </c>
      <c r="I17" s="24">
        <v>50</v>
      </c>
      <c r="J17" s="24">
        <v>-10</v>
      </c>
      <c r="K17" s="24">
        <v>0</v>
      </c>
      <c r="L17" s="24">
        <v>0</v>
      </c>
      <c r="M17" s="17">
        <v>0</v>
      </c>
      <c r="N17" s="17">
        <v>100</v>
      </c>
      <c r="O17" s="8">
        <v>70.569999999999993</v>
      </c>
      <c r="P17" s="8">
        <v>24.91</v>
      </c>
      <c r="Q17" s="17">
        <v>30.28</v>
      </c>
      <c r="R17" s="25">
        <f t="shared" si="0"/>
        <v>0.21557607386591734</v>
      </c>
      <c r="V17" t="s">
        <v>74</v>
      </c>
      <c r="W17">
        <v>0.9492411969609722</v>
      </c>
    </row>
    <row r="18" spans="1:30" ht="15.75" thickBot="1" x14ac:dyDescent="0.3">
      <c r="A18" s="24">
        <v>0</v>
      </c>
      <c r="B18" s="24">
        <v>0.02</v>
      </c>
      <c r="C18" s="24">
        <v>-14</v>
      </c>
      <c r="D18" s="24">
        <v>0</v>
      </c>
      <c r="E18" s="24">
        <v>5</v>
      </c>
      <c r="F18" s="24">
        <v>0</v>
      </c>
      <c r="G18" s="24">
        <v>5</v>
      </c>
      <c r="H18" s="24">
        <v>0</v>
      </c>
      <c r="I18" s="24">
        <v>50</v>
      </c>
      <c r="J18" s="24">
        <v>0</v>
      </c>
      <c r="K18" s="24">
        <v>0</v>
      </c>
      <c r="L18" s="24">
        <v>0</v>
      </c>
      <c r="M18" s="17">
        <v>50</v>
      </c>
      <c r="N18" s="17">
        <v>50</v>
      </c>
      <c r="O18" s="8">
        <v>70.569999999999993</v>
      </c>
      <c r="P18" s="8">
        <v>24.91</v>
      </c>
      <c r="Q18" s="17">
        <v>27.73</v>
      </c>
      <c r="R18" s="25">
        <f t="shared" si="0"/>
        <v>0.11320754716981134</v>
      </c>
      <c r="V18" s="19" t="s">
        <v>75</v>
      </c>
      <c r="W18" s="19">
        <v>29</v>
      </c>
    </row>
    <row r="19" spans="1:30" x14ac:dyDescent="0.25">
      <c r="A19" s="24">
        <v>0</v>
      </c>
      <c r="B19" s="24">
        <v>0.02</v>
      </c>
      <c r="C19" s="24">
        <v>85</v>
      </c>
      <c r="D19" s="24">
        <v>-7.0000000000000007E-2</v>
      </c>
      <c r="E19" s="24">
        <v>-0.7</v>
      </c>
      <c r="F19" s="24">
        <v>0</v>
      </c>
      <c r="G19" s="24">
        <v>0</v>
      </c>
      <c r="H19" s="24">
        <v>0</v>
      </c>
      <c r="I19" s="24">
        <v>50</v>
      </c>
      <c r="J19" s="24">
        <v>-10</v>
      </c>
      <c r="K19" s="26">
        <v>0</v>
      </c>
      <c r="L19" s="24">
        <v>100</v>
      </c>
      <c r="M19" s="17">
        <v>100</v>
      </c>
      <c r="N19" s="17">
        <v>0</v>
      </c>
      <c r="O19" s="8">
        <v>70.569999999999993</v>
      </c>
      <c r="P19" s="8">
        <v>24.91</v>
      </c>
      <c r="Q19" s="17">
        <v>25.48</v>
      </c>
      <c r="R19" s="25">
        <f t="shared" si="0"/>
        <v>2.2882376555600173E-2</v>
      </c>
    </row>
    <row r="20" spans="1:30" ht="15.75" thickBot="1" x14ac:dyDescent="0.3">
      <c r="A20" s="24">
        <v>-15</v>
      </c>
      <c r="B20" s="24">
        <v>-0.05</v>
      </c>
      <c r="C20" s="24">
        <v>-14</v>
      </c>
      <c r="D20" s="24">
        <v>0</v>
      </c>
      <c r="E20" s="24">
        <v>0</v>
      </c>
      <c r="F20" s="24">
        <v>-25</v>
      </c>
      <c r="G20" s="24">
        <v>0</v>
      </c>
      <c r="H20" s="24">
        <v>0</v>
      </c>
      <c r="I20" s="24">
        <v>50</v>
      </c>
      <c r="J20" s="27">
        <v>-10</v>
      </c>
      <c r="K20" s="28">
        <v>0</v>
      </c>
      <c r="L20" s="29">
        <v>0</v>
      </c>
      <c r="M20" s="17">
        <v>0</v>
      </c>
      <c r="N20" s="17">
        <v>100</v>
      </c>
      <c r="O20" s="8">
        <v>70.569999999999993</v>
      </c>
      <c r="P20" s="8">
        <v>24.91</v>
      </c>
      <c r="Q20" s="17">
        <v>25.07</v>
      </c>
      <c r="R20" s="25">
        <f t="shared" si="0"/>
        <v>6.4231232436772435E-3</v>
      </c>
      <c r="V20" t="s">
        <v>76</v>
      </c>
    </row>
    <row r="21" spans="1:30" x14ac:dyDescent="0.25">
      <c r="A21" s="24">
        <v>100</v>
      </c>
      <c r="B21" s="24">
        <v>0.02</v>
      </c>
      <c r="C21" s="24">
        <v>-14</v>
      </c>
      <c r="D21" s="24">
        <v>-7.0000000000000007E-2</v>
      </c>
      <c r="E21" s="24">
        <v>-0.7</v>
      </c>
      <c r="F21" s="24">
        <v>0</v>
      </c>
      <c r="G21" s="24">
        <v>5</v>
      </c>
      <c r="H21" s="24">
        <v>50</v>
      </c>
      <c r="I21" s="24">
        <v>50</v>
      </c>
      <c r="J21" s="24">
        <v>-10</v>
      </c>
      <c r="K21" s="30">
        <v>0</v>
      </c>
      <c r="L21" s="24">
        <v>100</v>
      </c>
      <c r="M21" s="17">
        <v>50</v>
      </c>
      <c r="N21" s="17">
        <v>50</v>
      </c>
      <c r="O21" s="8">
        <v>70.569999999999993</v>
      </c>
      <c r="P21" s="8">
        <v>24.91</v>
      </c>
      <c r="Q21" s="17">
        <v>26.53</v>
      </c>
      <c r="R21" s="25">
        <f t="shared" si="0"/>
        <v>6.5034122842232076E-2</v>
      </c>
      <c r="V21" s="20"/>
      <c r="W21" s="20" t="s">
        <v>81</v>
      </c>
      <c r="X21" s="20" t="s">
        <v>82</v>
      </c>
      <c r="Y21" s="20" t="s">
        <v>83</v>
      </c>
      <c r="Z21" s="20" t="s">
        <v>84</v>
      </c>
      <c r="AA21" s="20" t="s">
        <v>85</v>
      </c>
    </row>
    <row r="22" spans="1:30" x14ac:dyDescent="0.25">
      <c r="A22" s="24">
        <v>100</v>
      </c>
      <c r="B22" s="24">
        <v>-0.05</v>
      </c>
      <c r="C22" s="24">
        <v>85</v>
      </c>
      <c r="D22" s="24">
        <v>0</v>
      </c>
      <c r="E22" s="24">
        <v>-0.7</v>
      </c>
      <c r="F22" s="24">
        <v>-25</v>
      </c>
      <c r="G22" s="24">
        <v>5</v>
      </c>
      <c r="H22" s="24">
        <v>0</v>
      </c>
      <c r="I22" s="24">
        <v>0</v>
      </c>
      <c r="J22" s="24">
        <v>-10</v>
      </c>
      <c r="K22" s="24">
        <v>100</v>
      </c>
      <c r="L22" s="24">
        <v>100</v>
      </c>
      <c r="M22" s="17">
        <v>100</v>
      </c>
      <c r="N22" s="17">
        <v>0</v>
      </c>
      <c r="O22" s="8">
        <v>70.569999999999993</v>
      </c>
      <c r="P22" s="8">
        <v>24.91</v>
      </c>
      <c r="Q22" s="17">
        <v>26.38</v>
      </c>
      <c r="R22" s="25">
        <f t="shared" si="0"/>
        <v>5.9012444801284578E-2</v>
      </c>
      <c r="V22" t="s">
        <v>77</v>
      </c>
      <c r="W22">
        <v>14</v>
      </c>
      <c r="X22">
        <v>254.39824828436426</v>
      </c>
      <c r="Y22">
        <v>18.171303448883162</v>
      </c>
      <c r="Z22">
        <v>21.717888927790472</v>
      </c>
      <c r="AA22">
        <v>4.3427172523661028E-7</v>
      </c>
    </row>
    <row r="23" spans="1:30" x14ac:dyDescent="0.25">
      <c r="A23" s="24">
        <v>-15</v>
      </c>
      <c r="B23" s="24">
        <v>0.02</v>
      </c>
      <c r="C23" s="24">
        <v>85</v>
      </c>
      <c r="D23" s="24">
        <v>-7.0000000000000007E-2</v>
      </c>
      <c r="E23" s="24">
        <v>0</v>
      </c>
      <c r="F23" s="24">
        <v>0</v>
      </c>
      <c r="G23" s="24">
        <v>0</v>
      </c>
      <c r="H23" s="24">
        <v>50</v>
      </c>
      <c r="I23" s="24">
        <v>50</v>
      </c>
      <c r="J23" s="24">
        <v>1</v>
      </c>
      <c r="K23" s="24">
        <v>0</v>
      </c>
      <c r="L23" s="24">
        <v>100</v>
      </c>
      <c r="M23" s="17">
        <v>0</v>
      </c>
      <c r="N23" s="17">
        <v>100</v>
      </c>
      <c r="O23" s="8">
        <v>70.569999999999993</v>
      </c>
      <c r="P23" s="8">
        <v>24.91</v>
      </c>
      <c r="Q23" s="17">
        <v>24.4</v>
      </c>
      <c r="R23" s="25">
        <f t="shared" si="0"/>
        <v>-2.047370533922126E-2</v>
      </c>
      <c r="V23" t="s">
        <v>78</v>
      </c>
      <c r="W23">
        <v>15</v>
      </c>
      <c r="X23">
        <v>13.515882750118489</v>
      </c>
      <c r="Y23">
        <v>0.90105885000789931</v>
      </c>
    </row>
    <row r="24" spans="1:30" ht="15.75" thickBot="1" x14ac:dyDescent="0.3">
      <c r="A24" s="24">
        <v>100</v>
      </c>
      <c r="B24" s="24">
        <v>0.02</v>
      </c>
      <c r="C24" s="24">
        <v>-14</v>
      </c>
      <c r="D24" s="24">
        <v>7.0000000000000007E-2</v>
      </c>
      <c r="E24" s="24">
        <v>-0.7</v>
      </c>
      <c r="F24" s="24">
        <v>-25</v>
      </c>
      <c r="G24" s="24">
        <v>0</v>
      </c>
      <c r="H24" s="24">
        <v>0</v>
      </c>
      <c r="I24" s="24">
        <v>0</v>
      </c>
      <c r="J24" s="24">
        <v>1</v>
      </c>
      <c r="K24" s="24">
        <v>100</v>
      </c>
      <c r="L24" s="24">
        <v>0</v>
      </c>
      <c r="M24" s="17">
        <v>50</v>
      </c>
      <c r="N24" s="17">
        <v>50</v>
      </c>
      <c r="O24" s="8">
        <v>70.569999999999993</v>
      </c>
      <c r="P24" s="8">
        <v>24.91</v>
      </c>
      <c r="Q24" s="17">
        <v>25.55</v>
      </c>
      <c r="R24" s="25">
        <f t="shared" si="0"/>
        <v>2.5692492974708974E-2</v>
      </c>
      <c r="V24" s="19" t="s">
        <v>79</v>
      </c>
      <c r="W24" s="19">
        <v>29</v>
      </c>
      <c r="X24" s="19">
        <v>267.91413103448275</v>
      </c>
      <c r="Y24" s="19"/>
      <c r="Z24" s="19"/>
      <c r="AA24" s="19"/>
    </row>
    <row r="25" spans="1:30" ht="15.75" thickBot="1" x14ac:dyDescent="0.3">
      <c r="A25" s="24">
        <v>-15</v>
      </c>
      <c r="B25" s="24">
        <v>0.02</v>
      </c>
      <c r="C25" s="24">
        <v>85</v>
      </c>
      <c r="D25" s="24">
        <v>0</v>
      </c>
      <c r="E25" s="24">
        <v>5</v>
      </c>
      <c r="F25" s="24">
        <v>25</v>
      </c>
      <c r="G25" s="24">
        <v>247</v>
      </c>
      <c r="H25" s="24">
        <v>0</v>
      </c>
      <c r="I25" s="24">
        <v>50</v>
      </c>
      <c r="J25" s="24">
        <v>0</v>
      </c>
      <c r="K25" s="24">
        <v>0</v>
      </c>
      <c r="L25" s="24">
        <v>0</v>
      </c>
      <c r="M25" s="17">
        <v>100</v>
      </c>
      <c r="N25" s="17">
        <v>0</v>
      </c>
      <c r="O25" s="8">
        <v>70.569999999999993</v>
      </c>
      <c r="P25" s="8">
        <v>24.91</v>
      </c>
      <c r="Q25" s="17">
        <v>31.08</v>
      </c>
      <c r="R25" s="25">
        <f t="shared" si="0"/>
        <v>0.24769169008430342</v>
      </c>
    </row>
    <row r="26" spans="1:30" x14ac:dyDescent="0.25">
      <c r="A26" s="24">
        <v>-15</v>
      </c>
      <c r="B26" s="24">
        <v>-0.05</v>
      </c>
      <c r="C26" s="24">
        <v>-14</v>
      </c>
      <c r="D26" s="24">
        <v>-7.0000000000000007E-2</v>
      </c>
      <c r="E26" s="24">
        <v>-0.7</v>
      </c>
      <c r="F26" s="24">
        <v>-25</v>
      </c>
      <c r="G26" s="24">
        <v>5</v>
      </c>
      <c r="H26" s="24">
        <v>50</v>
      </c>
      <c r="I26" s="24">
        <v>50</v>
      </c>
      <c r="J26" s="24">
        <v>0</v>
      </c>
      <c r="K26" s="24">
        <v>100</v>
      </c>
      <c r="L26" s="24">
        <v>100</v>
      </c>
      <c r="M26" s="17">
        <v>0</v>
      </c>
      <c r="N26" s="17">
        <v>100</v>
      </c>
      <c r="O26" s="8">
        <v>70.569999999999993</v>
      </c>
      <c r="P26" s="8">
        <v>24.91</v>
      </c>
      <c r="Q26" s="17">
        <v>23.21</v>
      </c>
      <c r="R26" s="25">
        <f t="shared" si="0"/>
        <v>-6.824568446407063E-2</v>
      </c>
      <c r="V26" s="20"/>
      <c r="W26" s="20" t="s">
        <v>86</v>
      </c>
      <c r="X26" s="20" t="s">
        <v>74</v>
      </c>
      <c r="Y26" s="20" t="s">
        <v>87</v>
      </c>
      <c r="Z26" s="20" t="s">
        <v>88</v>
      </c>
      <c r="AA26" s="20" t="s">
        <v>89</v>
      </c>
      <c r="AB26" s="20" t="s">
        <v>90</v>
      </c>
      <c r="AC26" s="20" t="s">
        <v>91</v>
      </c>
      <c r="AD26" s="20" t="s">
        <v>92</v>
      </c>
    </row>
    <row r="27" spans="1:30" x14ac:dyDescent="0.25">
      <c r="A27" s="24">
        <v>0</v>
      </c>
      <c r="B27" s="24">
        <v>0.02</v>
      </c>
      <c r="C27" s="24">
        <v>-14</v>
      </c>
      <c r="D27" s="24">
        <v>7.0000000000000007E-2</v>
      </c>
      <c r="E27" s="24">
        <v>5</v>
      </c>
      <c r="F27" s="24">
        <v>25</v>
      </c>
      <c r="G27" s="24">
        <v>5</v>
      </c>
      <c r="H27" s="24">
        <v>50</v>
      </c>
      <c r="I27" s="24">
        <v>0</v>
      </c>
      <c r="J27" s="24">
        <v>1</v>
      </c>
      <c r="K27" s="24">
        <v>100</v>
      </c>
      <c r="L27" s="24">
        <v>0</v>
      </c>
      <c r="M27" s="17">
        <v>50</v>
      </c>
      <c r="N27" s="17">
        <v>50</v>
      </c>
      <c r="O27" s="8">
        <v>70.569999999999993</v>
      </c>
      <c r="P27" s="8">
        <v>24.91</v>
      </c>
      <c r="Q27" s="17">
        <v>27.13</v>
      </c>
      <c r="R27" s="25">
        <f t="shared" si="0"/>
        <v>8.9120835006021637E-2</v>
      </c>
      <c r="V27" t="s">
        <v>80</v>
      </c>
      <c r="W27">
        <v>23.911675281449067</v>
      </c>
      <c r="X27">
        <v>0.56733805420459216</v>
      </c>
      <c r="Y27">
        <v>42.147138032144227</v>
      </c>
      <c r="Z27">
        <v>5.3708896687221125E-17</v>
      </c>
      <c r="AA27">
        <v>22.702422843635922</v>
      </c>
      <c r="AB27">
        <v>25.120927719262212</v>
      </c>
      <c r="AC27">
        <v>22.702422843635922</v>
      </c>
      <c r="AD27">
        <v>25.120927719262212</v>
      </c>
    </row>
    <row r="28" spans="1:30" x14ac:dyDescent="0.25">
      <c r="A28" s="24">
        <v>0</v>
      </c>
      <c r="B28" s="24">
        <v>0.02</v>
      </c>
      <c r="C28" s="24">
        <v>85</v>
      </c>
      <c r="D28" s="24">
        <v>7.0000000000000007E-2</v>
      </c>
      <c r="E28" s="24">
        <v>5</v>
      </c>
      <c r="F28" s="24">
        <v>0</v>
      </c>
      <c r="G28" s="24">
        <v>247</v>
      </c>
      <c r="H28" s="24">
        <v>50</v>
      </c>
      <c r="I28" s="24">
        <v>0</v>
      </c>
      <c r="J28" s="24">
        <v>-10</v>
      </c>
      <c r="K28" s="24">
        <v>0</v>
      </c>
      <c r="L28" s="24">
        <v>0</v>
      </c>
      <c r="M28" s="17">
        <v>100</v>
      </c>
      <c r="N28" s="17">
        <v>0</v>
      </c>
      <c r="O28" s="8">
        <v>70.569999999999993</v>
      </c>
      <c r="P28" s="8">
        <v>24.91</v>
      </c>
      <c r="Q28" s="17">
        <v>33.21</v>
      </c>
      <c r="R28" s="25">
        <f t="shared" si="0"/>
        <v>0.33319951826575678</v>
      </c>
      <c r="V28" t="s">
        <v>62</v>
      </c>
      <c r="W28">
        <v>1.9276256200148351E-2</v>
      </c>
      <c r="X28">
        <v>3.9637902572930116E-3</v>
      </c>
      <c r="Y28">
        <v>4.863086830763006</v>
      </c>
      <c r="Z28">
        <v>2.0671563185290667E-4</v>
      </c>
      <c r="AA28">
        <v>1.0827637257546902E-2</v>
      </c>
      <c r="AB28">
        <v>2.7724875142749801E-2</v>
      </c>
      <c r="AC28">
        <v>1.0827637257546902E-2</v>
      </c>
      <c r="AD28">
        <v>2.7724875142749801E-2</v>
      </c>
    </row>
    <row r="29" spans="1:30" x14ac:dyDescent="0.25">
      <c r="A29" s="24">
        <v>-15</v>
      </c>
      <c r="B29" s="24">
        <v>0.02</v>
      </c>
      <c r="C29" s="24">
        <v>85</v>
      </c>
      <c r="D29" s="24">
        <v>7.0000000000000007E-2</v>
      </c>
      <c r="E29" s="24">
        <v>-0.7</v>
      </c>
      <c r="F29" s="24">
        <v>0</v>
      </c>
      <c r="G29" s="24">
        <v>5</v>
      </c>
      <c r="H29" s="24">
        <v>50</v>
      </c>
      <c r="I29" s="24">
        <v>0</v>
      </c>
      <c r="J29" s="24">
        <v>-10</v>
      </c>
      <c r="K29" s="24">
        <v>0</v>
      </c>
      <c r="L29" s="24">
        <v>0</v>
      </c>
      <c r="M29" s="17">
        <v>0</v>
      </c>
      <c r="N29" s="17">
        <v>100</v>
      </c>
      <c r="O29" s="8">
        <v>70.569999999999993</v>
      </c>
      <c r="P29" s="8">
        <v>24.91</v>
      </c>
      <c r="Q29" s="17">
        <v>24.7</v>
      </c>
      <c r="R29" s="25">
        <f t="shared" si="0"/>
        <v>-8.4303492573264086E-3</v>
      </c>
      <c r="V29" t="s">
        <v>56</v>
      </c>
      <c r="W29">
        <v>3.0701013404465187</v>
      </c>
      <c r="X29">
        <v>5.9375714521842422</v>
      </c>
      <c r="Y29">
        <v>0.51706347707481093</v>
      </c>
      <c r="Z29">
        <v>0.61265173943376861</v>
      </c>
      <c r="AA29">
        <v>-9.5855326330402733</v>
      </c>
      <c r="AB29">
        <v>15.72573531393331</v>
      </c>
      <c r="AC29">
        <v>-9.5855326330402733</v>
      </c>
      <c r="AD29">
        <v>15.72573531393331</v>
      </c>
    </row>
    <row r="30" spans="1:30" x14ac:dyDescent="0.25">
      <c r="A30" s="24">
        <v>100</v>
      </c>
      <c r="B30" s="24">
        <v>0.02</v>
      </c>
      <c r="C30" s="24">
        <v>-14</v>
      </c>
      <c r="D30" s="24">
        <v>7.0000000000000007E-2</v>
      </c>
      <c r="E30" s="24">
        <v>0</v>
      </c>
      <c r="F30" s="24">
        <v>0</v>
      </c>
      <c r="G30" s="24">
        <v>5</v>
      </c>
      <c r="H30" s="24">
        <v>0</v>
      </c>
      <c r="I30" s="24">
        <v>0</v>
      </c>
      <c r="J30" s="24">
        <v>1</v>
      </c>
      <c r="K30" s="24">
        <v>100</v>
      </c>
      <c r="L30" s="24">
        <v>0</v>
      </c>
      <c r="M30" s="17">
        <v>50</v>
      </c>
      <c r="N30" s="17">
        <v>50</v>
      </c>
      <c r="O30" s="8">
        <v>70.569999999999993</v>
      </c>
      <c r="P30" s="8">
        <v>24.91</v>
      </c>
      <c r="Q30" s="17">
        <v>26.43</v>
      </c>
      <c r="R30" s="25">
        <f t="shared" si="0"/>
        <v>6.1019670814933744E-2</v>
      </c>
      <c r="V30" t="s">
        <v>63</v>
      </c>
      <c r="W30">
        <v>-3.5190661366804668E-3</v>
      </c>
      <c r="X30">
        <v>4.3153840152196799E-3</v>
      </c>
      <c r="Y30">
        <v>-0.81546998465704901</v>
      </c>
      <c r="Z30">
        <v>0.42756277595506975</v>
      </c>
      <c r="AA30">
        <v>-1.2717089434836367E-2</v>
      </c>
      <c r="AB30">
        <v>5.6789571614754338E-3</v>
      </c>
      <c r="AC30">
        <v>-1.2717089434836367E-2</v>
      </c>
      <c r="AD30">
        <v>5.6789571614754338E-3</v>
      </c>
    </row>
    <row r="31" spans="1:30" x14ac:dyDescent="0.25">
      <c r="V31" t="s">
        <v>64</v>
      </c>
      <c r="W31">
        <v>2.6827861949215586</v>
      </c>
      <c r="X31">
        <v>4.8942136953948596</v>
      </c>
      <c r="Y31">
        <v>0.54815469080271007</v>
      </c>
      <c r="Z31">
        <v>0.59165069284527938</v>
      </c>
      <c r="AA31">
        <v>-7.7489833620002386</v>
      </c>
      <c r="AB31">
        <v>13.114555751843355</v>
      </c>
      <c r="AC31">
        <v>-7.7489833620002386</v>
      </c>
      <c r="AD31">
        <v>13.114555751843355</v>
      </c>
    </row>
    <row r="32" spans="1:30" x14ac:dyDescent="0.25">
      <c r="V32" t="s">
        <v>65</v>
      </c>
      <c r="W32">
        <v>0.58685418717749016</v>
      </c>
      <c r="X32">
        <v>9.3440383484329148E-2</v>
      </c>
      <c r="Y32">
        <v>6.2805198918721397</v>
      </c>
      <c r="Z32">
        <v>1.4735705101051897E-5</v>
      </c>
      <c r="AA32">
        <v>0.38769072426288576</v>
      </c>
      <c r="AB32">
        <v>0.78601765009209457</v>
      </c>
      <c r="AC32">
        <v>0.38769072426288576</v>
      </c>
      <c r="AD32">
        <v>0.78601765009209457</v>
      </c>
    </row>
    <row r="33" spans="22:30" x14ac:dyDescent="0.25">
      <c r="V33" t="s">
        <v>66</v>
      </c>
      <c r="W33">
        <v>-3.2894612718073796E-3</v>
      </c>
      <c r="X33">
        <v>1.2630208369789332E-2</v>
      </c>
      <c r="Y33">
        <v>-0.26044394324289732</v>
      </c>
      <c r="Z33">
        <v>0.7980627126942903</v>
      </c>
      <c r="AA33">
        <v>-3.0210113161920106E-2</v>
      </c>
      <c r="AB33">
        <v>2.3631190618305348E-2</v>
      </c>
      <c r="AC33">
        <v>-3.0210113161920106E-2</v>
      </c>
      <c r="AD33">
        <v>2.3631190618305348E-2</v>
      </c>
    </row>
    <row r="34" spans="22:30" x14ac:dyDescent="0.25">
      <c r="V34" t="s">
        <v>55</v>
      </c>
      <c r="W34">
        <v>2.7088916607947575E-2</v>
      </c>
      <c r="X34">
        <v>2.3661008078575607E-3</v>
      </c>
      <c r="Y34">
        <v>11.448758445958118</v>
      </c>
      <c r="Z34">
        <v>8.1977376604801682E-9</v>
      </c>
      <c r="AA34">
        <v>2.2045692116290962E-2</v>
      </c>
      <c r="AB34">
        <v>3.2132141099604189E-2</v>
      </c>
      <c r="AC34">
        <v>2.2045692116290962E-2</v>
      </c>
      <c r="AD34">
        <v>3.2132141099604189E-2</v>
      </c>
    </row>
    <row r="35" spans="22:30" x14ac:dyDescent="0.25">
      <c r="V35" t="s">
        <v>57</v>
      </c>
      <c r="W35">
        <v>-5.9646817700598192E-3</v>
      </c>
      <c r="X35">
        <v>8.5641517879928783E-3</v>
      </c>
      <c r="Y35">
        <v>-0.69647081435693714</v>
      </c>
      <c r="Z35">
        <v>0.49678572552676281</v>
      </c>
      <c r="AA35">
        <v>-2.4218739206682167E-2</v>
      </c>
      <c r="AB35">
        <v>1.2289375666562527E-2</v>
      </c>
      <c r="AC35">
        <v>-2.4218739206682167E-2</v>
      </c>
      <c r="AD35">
        <v>1.2289375666562527E-2</v>
      </c>
    </row>
    <row r="36" spans="22:30" x14ac:dyDescent="0.25">
      <c r="V36" t="s">
        <v>60</v>
      </c>
      <c r="W36">
        <v>6.7591347412319447E-3</v>
      </c>
      <c r="X36">
        <v>9.1158540186572698E-3</v>
      </c>
      <c r="Y36">
        <v>0.74147027008090893</v>
      </c>
      <c r="Z36">
        <v>0.46985887900567536</v>
      </c>
      <c r="AA36">
        <v>-1.2670848164224334E-2</v>
      </c>
      <c r="AB36">
        <v>2.6189117646688222E-2</v>
      </c>
      <c r="AC36">
        <v>-1.2670848164224334E-2</v>
      </c>
      <c r="AD36">
        <v>2.6189117646688222E-2</v>
      </c>
    </row>
    <row r="37" spans="22:30" x14ac:dyDescent="0.25">
      <c r="V37" t="s">
        <v>67</v>
      </c>
      <c r="W37">
        <v>-0.14776277216980019</v>
      </c>
      <c r="X37">
        <v>4.3816855837772353E-2</v>
      </c>
      <c r="Y37">
        <v>-3.3722814963464627</v>
      </c>
      <c r="Z37">
        <v>4.189396867233736E-3</v>
      </c>
      <c r="AA37">
        <v>-0.24115618963307822</v>
      </c>
      <c r="AB37">
        <v>-5.4369354706522169E-2</v>
      </c>
      <c r="AC37">
        <v>-0.24115618963307822</v>
      </c>
      <c r="AD37">
        <v>-5.4369354706522169E-2</v>
      </c>
    </row>
    <row r="38" spans="22:30" x14ac:dyDescent="0.25">
      <c r="V38" t="s">
        <v>68</v>
      </c>
      <c r="W38">
        <v>3.9305256606762488E-3</v>
      </c>
      <c r="X38">
        <v>5.0424814508737452E-3</v>
      </c>
      <c r="Y38">
        <v>0.77948242328093831</v>
      </c>
      <c r="Z38">
        <v>0.44782023504800617</v>
      </c>
      <c r="AA38">
        <v>-6.817269136282186E-3</v>
      </c>
      <c r="AB38">
        <v>1.4678320457634684E-2</v>
      </c>
      <c r="AC38">
        <v>-6.817269136282186E-3</v>
      </c>
      <c r="AD38">
        <v>1.4678320457634684E-2</v>
      </c>
    </row>
    <row r="39" spans="22:30" x14ac:dyDescent="0.25">
      <c r="V39" t="s">
        <v>99</v>
      </c>
      <c r="W39">
        <v>6.8447144468758575E-3</v>
      </c>
      <c r="X39">
        <v>5.8373058794152126E-3</v>
      </c>
      <c r="Y39">
        <v>1.1725810824841627</v>
      </c>
      <c r="Z39">
        <v>0.25925006829241604</v>
      </c>
      <c r="AA39">
        <v>-5.5972085170970954E-3</v>
      </c>
      <c r="AB39">
        <v>1.9286637410848809E-2</v>
      </c>
      <c r="AC39">
        <v>-5.5972085170970954E-3</v>
      </c>
      <c r="AD39">
        <v>1.9286637410848809E-2</v>
      </c>
    </row>
    <row r="40" spans="22:30" x14ac:dyDescent="0.25">
      <c r="V40" t="s">
        <v>100</v>
      </c>
      <c r="W40">
        <v>-6.8001855121900909E-3</v>
      </c>
      <c r="X40">
        <v>6.8675996432445213E-3</v>
      </c>
      <c r="Y40">
        <v>-0.99018374183755109</v>
      </c>
      <c r="Z40">
        <v>0.33778916322203822</v>
      </c>
      <c r="AA40">
        <v>-2.1438127650870095E-2</v>
      </c>
      <c r="AB40">
        <v>7.8377566264899116E-3</v>
      </c>
      <c r="AC40">
        <v>-2.1438127650870095E-2</v>
      </c>
      <c r="AD40">
        <v>7.8377566264899116E-3</v>
      </c>
    </row>
    <row r="41" spans="22:30" ht="15.75" thickBot="1" x14ac:dyDescent="0.3">
      <c r="V41" s="19" t="s">
        <v>101</v>
      </c>
      <c r="W41" s="19">
        <v>0</v>
      </c>
      <c r="X41" s="19">
        <v>0</v>
      </c>
      <c r="Y41" s="19">
        <v>65535</v>
      </c>
      <c r="Z41" s="19" t="e">
        <v>#NUM!</v>
      </c>
      <c r="AA41" s="19">
        <v>0</v>
      </c>
      <c r="AB41" s="19">
        <v>0</v>
      </c>
      <c r="AC41" s="19">
        <v>0</v>
      </c>
      <c r="AD41" s="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336E9-F6E5-4819-8A08-191BBD9B57C3}">
  <dimension ref="A1:S11"/>
  <sheetViews>
    <sheetView topLeftCell="H1" workbookViewId="0">
      <selection activeCell="Q29" sqref="Q29"/>
    </sheetView>
  </sheetViews>
  <sheetFormatPr defaultRowHeight="15" x14ac:dyDescent="0.25"/>
  <cols>
    <col min="1" max="1" width="15" bestFit="1" customWidth="1"/>
    <col min="2" max="2" width="17.7109375" bestFit="1" customWidth="1"/>
    <col min="3" max="3" width="24.5703125" bestFit="1" customWidth="1"/>
    <col min="4" max="4" width="24" bestFit="1" customWidth="1"/>
    <col min="5" max="5" width="22.42578125" bestFit="1" customWidth="1"/>
    <col min="6" max="6" width="15.28515625" bestFit="1" customWidth="1"/>
    <col min="7" max="7" width="15.85546875" bestFit="1" customWidth="1"/>
    <col min="8" max="8" width="22.28515625" bestFit="1" customWidth="1"/>
    <col min="9" max="9" width="12.5703125" bestFit="1" customWidth="1"/>
    <col min="10" max="10" width="16.28515625" bestFit="1" customWidth="1"/>
    <col min="11" max="11" width="15.42578125" bestFit="1" customWidth="1"/>
    <col min="12" max="12" width="24.28515625" bestFit="1" customWidth="1"/>
    <col min="13" max="13" width="28" bestFit="1" customWidth="1"/>
    <col min="14" max="14" width="21.85546875" bestFit="1" customWidth="1"/>
    <col min="15" max="15" width="20" bestFit="1" customWidth="1"/>
    <col min="16" max="16" width="20" customWidth="1"/>
    <col min="17" max="17" width="18.5703125" bestFit="1" customWidth="1"/>
    <col min="18" max="18" width="12.28515625" bestFit="1" customWidth="1"/>
    <col min="19" max="19" width="62.28515625" bestFit="1" customWidth="1"/>
  </cols>
  <sheetData>
    <row r="1" spans="1:19" x14ac:dyDescent="0.25">
      <c r="A1" s="22" t="s">
        <v>54</v>
      </c>
      <c r="B1" s="22" t="s">
        <v>55</v>
      </c>
      <c r="C1" s="22" t="s">
        <v>56</v>
      </c>
      <c r="D1" s="22" t="s">
        <v>57</v>
      </c>
      <c r="E1" s="22" t="s">
        <v>60</v>
      </c>
      <c r="F1" s="22" t="s">
        <v>112</v>
      </c>
      <c r="G1" s="22" t="s">
        <v>113</v>
      </c>
      <c r="H1" s="22" t="s">
        <v>114</v>
      </c>
      <c r="I1" s="22" t="s">
        <v>64</v>
      </c>
      <c r="J1" s="22" t="s">
        <v>66</v>
      </c>
      <c r="K1" s="22" t="s">
        <v>67</v>
      </c>
      <c r="L1" s="22" t="s">
        <v>68</v>
      </c>
      <c r="M1" s="22" t="s">
        <v>99</v>
      </c>
      <c r="N1" s="22" t="s">
        <v>100</v>
      </c>
      <c r="O1" s="22" t="s">
        <v>101</v>
      </c>
      <c r="P1" s="22" t="s">
        <v>103</v>
      </c>
      <c r="Q1" s="22" t="s">
        <v>115</v>
      </c>
      <c r="R1" s="22" t="s">
        <v>116</v>
      </c>
      <c r="S1" s="22" t="s">
        <v>117</v>
      </c>
    </row>
    <row r="2" spans="1:19" x14ac:dyDescent="0.25">
      <c r="A2" s="17" t="s">
        <v>122</v>
      </c>
      <c r="B2" s="17">
        <v>247</v>
      </c>
      <c r="C2" s="17">
        <v>0</v>
      </c>
      <c r="D2" s="17">
        <v>40</v>
      </c>
      <c r="E2" s="17">
        <v>0</v>
      </c>
      <c r="F2" s="17">
        <v>100</v>
      </c>
      <c r="G2" s="17">
        <v>0</v>
      </c>
      <c r="H2" s="17">
        <v>5</v>
      </c>
      <c r="I2" s="17">
        <v>7.0000000000000007E-2</v>
      </c>
      <c r="J2" s="17">
        <v>-25</v>
      </c>
      <c r="K2" s="17">
        <v>1</v>
      </c>
      <c r="L2" s="17">
        <v>75</v>
      </c>
      <c r="M2" s="17">
        <v>0</v>
      </c>
      <c r="N2" s="17">
        <v>100</v>
      </c>
      <c r="O2" s="17">
        <v>50</v>
      </c>
      <c r="P2" s="17">
        <v>24.05</v>
      </c>
      <c r="Q2" s="33">
        <v>2.2000000000000002</v>
      </c>
      <c r="R2" s="17">
        <v>31.97</v>
      </c>
      <c r="S2" s="17" t="s">
        <v>118</v>
      </c>
    </row>
    <row r="3" spans="1:19" x14ac:dyDescent="0.25">
      <c r="A3" s="17" t="s">
        <v>123</v>
      </c>
      <c r="B3" s="17">
        <v>247</v>
      </c>
      <c r="C3" s="17">
        <v>0</v>
      </c>
      <c r="D3" s="17">
        <v>50</v>
      </c>
      <c r="E3" s="17">
        <v>0</v>
      </c>
      <c r="F3" s="17">
        <v>0</v>
      </c>
      <c r="G3" s="17">
        <v>0</v>
      </c>
      <c r="H3" s="17">
        <v>-0.7</v>
      </c>
      <c r="I3" s="17">
        <v>0</v>
      </c>
      <c r="J3" s="17">
        <v>25</v>
      </c>
      <c r="K3" s="17">
        <v>-2</v>
      </c>
      <c r="L3" s="17">
        <v>0</v>
      </c>
      <c r="M3" s="17">
        <v>0</v>
      </c>
      <c r="N3" s="17">
        <v>0</v>
      </c>
      <c r="O3" s="17">
        <v>50</v>
      </c>
      <c r="P3" s="17">
        <v>29.64</v>
      </c>
      <c r="Q3" s="17">
        <v>2.2999999999999998</v>
      </c>
      <c r="R3" s="17">
        <v>32.770000000000003</v>
      </c>
      <c r="S3" s="17" t="s">
        <v>118</v>
      </c>
    </row>
    <row r="4" spans="1:19" x14ac:dyDescent="0.25">
      <c r="A4" s="17" t="s">
        <v>124</v>
      </c>
      <c r="B4" s="17">
        <v>150</v>
      </c>
      <c r="C4" s="17">
        <v>-0.03</v>
      </c>
      <c r="D4" s="17">
        <v>0</v>
      </c>
      <c r="E4" s="17">
        <v>25</v>
      </c>
      <c r="F4" s="17">
        <v>100</v>
      </c>
      <c r="G4" s="17">
        <v>0</v>
      </c>
      <c r="H4" s="17">
        <v>-0.7</v>
      </c>
      <c r="I4" s="17">
        <v>-7.0000000000000007E-2</v>
      </c>
      <c r="J4" s="17">
        <v>5</v>
      </c>
      <c r="K4" s="17">
        <v>-2</v>
      </c>
      <c r="L4" s="17">
        <v>50</v>
      </c>
      <c r="M4" s="17">
        <v>50</v>
      </c>
      <c r="N4" s="17">
        <v>0</v>
      </c>
      <c r="O4" s="17">
        <v>0</v>
      </c>
      <c r="P4" s="17">
        <v>32.770000000000003</v>
      </c>
      <c r="Q4" s="17">
        <v>2.5</v>
      </c>
      <c r="R4" s="17">
        <v>32.090000000000003</v>
      </c>
      <c r="S4" s="17" t="s">
        <v>118</v>
      </c>
    </row>
    <row r="5" spans="1:19" x14ac:dyDescent="0.25">
      <c r="A5" s="17" t="s">
        <v>125</v>
      </c>
      <c r="B5" s="17">
        <v>10</v>
      </c>
      <c r="C5" s="17">
        <v>-0.03</v>
      </c>
      <c r="D5" s="17">
        <v>50</v>
      </c>
      <c r="E5" s="17">
        <v>50</v>
      </c>
      <c r="F5" s="17">
        <v>-15</v>
      </c>
      <c r="G5" s="17">
        <v>85</v>
      </c>
      <c r="H5" s="17">
        <v>5</v>
      </c>
      <c r="I5" s="17">
        <v>0</v>
      </c>
      <c r="J5" s="17">
        <v>5</v>
      </c>
      <c r="K5" s="17">
        <v>-2</v>
      </c>
      <c r="L5" s="17">
        <v>50</v>
      </c>
      <c r="M5" s="17">
        <v>0</v>
      </c>
      <c r="N5" s="17">
        <v>0</v>
      </c>
      <c r="O5" s="17">
        <v>0</v>
      </c>
      <c r="P5" s="17">
        <v>52.59</v>
      </c>
      <c r="Q5" s="17">
        <v>2.9</v>
      </c>
      <c r="R5" s="17">
        <v>27.81</v>
      </c>
      <c r="S5" s="17" t="s">
        <v>118</v>
      </c>
    </row>
    <row r="6" spans="1:19" ht="19.149999999999999" customHeight="1" x14ac:dyDescent="0.25">
      <c r="A6" s="17" t="s">
        <v>126</v>
      </c>
      <c r="B6" s="17">
        <v>0</v>
      </c>
      <c r="C6" s="17">
        <v>-0.04</v>
      </c>
      <c r="D6" s="17">
        <v>0</v>
      </c>
      <c r="E6" s="17">
        <v>40</v>
      </c>
      <c r="F6" s="17">
        <v>0</v>
      </c>
      <c r="G6" s="17">
        <v>0</v>
      </c>
      <c r="H6" s="17">
        <v>-0.7</v>
      </c>
      <c r="I6" s="17">
        <v>0</v>
      </c>
      <c r="J6" s="17">
        <v>5</v>
      </c>
      <c r="K6" s="17">
        <v>-10</v>
      </c>
      <c r="L6" s="17">
        <v>0</v>
      </c>
      <c r="M6" s="17">
        <v>75</v>
      </c>
      <c r="N6" s="17">
        <v>100</v>
      </c>
      <c r="O6" s="17">
        <v>0</v>
      </c>
      <c r="P6" s="17">
        <v>53.87</v>
      </c>
      <c r="Q6" s="17">
        <v>2.9</v>
      </c>
      <c r="R6" s="17">
        <v>24.64</v>
      </c>
      <c r="S6" s="17" t="s">
        <v>118</v>
      </c>
    </row>
    <row r="7" spans="1:19" x14ac:dyDescent="0.25">
      <c r="A7" s="17" t="s">
        <v>127</v>
      </c>
      <c r="B7" s="17">
        <v>150</v>
      </c>
      <c r="C7" s="17">
        <v>-0.04</v>
      </c>
      <c r="D7" s="17">
        <v>40</v>
      </c>
      <c r="E7" s="17">
        <v>40</v>
      </c>
      <c r="F7" s="17">
        <v>50</v>
      </c>
      <c r="G7" s="17">
        <v>0</v>
      </c>
      <c r="H7" s="17">
        <v>0</v>
      </c>
      <c r="I7" s="17">
        <v>7.0000000000000007E-2</v>
      </c>
      <c r="J7" s="17">
        <v>0</v>
      </c>
      <c r="K7" s="17">
        <v>-10</v>
      </c>
      <c r="L7" s="17">
        <v>100</v>
      </c>
      <c r="M7" s="17">
        <v>75</v>
      </c>
      <c r="N7" s="17">
        <v>0</v>
      </c>
      <c r="O7" s="17">
        <v>50</v>
      </c>
      <c r="P7" s="17">
        <v>20.8</v>
      </c>
      <c r="Q7" s="33">
        <v>2</v>
      </c>
      <c r="R7" s="17">
        <v>32.9</v>
      </c>
      <c r="S7" s="17" t="s">
        <v>120</v>
      </c>
    </row>
    <row r="8" spans="1:19" x14ac:dyDescent="0.25">
      <c r="A8" s="17" t="s">
        <v>128</v>
      </c>
      <c r="B8" s="17">
        <v>100</v>
      </c>
      <c r="C8" s="17">
        <v>-0.02</v>
      </c>
      <c r="D8" s="17">
        <v>0</v>
      </c>
      <c r="E8" s="17">
        <v>25</v>
      </c>
      <c r="F8" s="17">
        <v>50</v>
      </c>
      <c r="G8" s="17">
        <v>0</v>
      </c>
      <c r="H8" s="17">
        <v>0</v>
      </c>
      <c r="I8" s="17">
        <v>-7.0000000000000007E-2</v>
      </c>
      <c r="J8" s="17">
        <v>25</v>
      </c>
      <c r="K8" s="17">
        <v>-10</v>
      </c>
      <c r="L8" s="17">
        <v>100</v>
      </c>
      <c r="M8" s="17">
        <v>75</v>
      </c>
      <c r="N8" s="17">
        <v>0</v>
      </c>
      <c r="O8" s="17">
        <v>100</v>
      </c>
      <c r="P8" s="17">
        <v>22.76</v>
      </c>
      <c r="Q8" s="17">
        <v>2.1</v>
      </c>
      <c r="R8" s="17">
        <v>31.7</v>
      </c>
      <c r="S8" s="17" t="s">
        <v>118</v>
      </c>
    </row>
    <row r="9" spans="1:19" x14ac:dyDescent="0.25">
      <c r="A9" s="17" t="s">
        <v>129</v>
      </c>
      <c r="B9" s="17">
        <v>100</v>
      </c>
      <c r="C9" s="17">
        <v>-0.04</v>
      </c>
      <c r="D9" s="17">
        <v>40</v>
      </c>
      <c r="E9" s="17">
        <v>25</v>
      </c>
      <c r="F9" s="17">
        <v>50</v>
      </c>
      <c r="G9" s="17">
        <v>85</v>
      </c>
      <c r="H9" s="17">
        <v>-0.7</v>
      </c>
      <c r="I9" s="17">
        <v>7.0000000000000007E-2</v>
      </c>
      <c r="J9" s="17">
        <v>0</v>
      </c>
      <c r="K9" s="17">
        <v>-10</v>
      </c>
      <c r="L9" s="17">
        <v>50</v>
      </c>
      <c r="M9" s="17">
        <v>75</v>
      </c>
      <c r="N9" s="17">
        <v>0</v>
      </c>
      <c r="O9" s="17">
        <v>100</v>
      </c>
      <c r="P9" s="17">
        <v>23.78</v>
      </c>
      <c r="Q9" s="33">
        <v>2.1</v>
      </c>
      <c r="R9" s="17">
        <v>31.57</v>
      </c>
      <c r="S9" s="17" t="s">
        <v>118</v>
      </c>
    </row>
    <row r="10" spans="1:19" x14ac:dyDescent="0.25">
      <c r="A10" s="17" t="s">
        <v>130</v>
      </c>
      <c r="B10" s="17">
        <v>100</v>
      </c>
      <c r="C10" s="17">
        <v>-0.03</v>
      </c>
      <c r="D10" s="17">
        <v>25</v>
      </c>
      <c r="E10" s="17">
        <v>50</v>
      </c>
      <c r="F10" s="17">
        <v>100</v>
      </c>
      <c r="G10" s="17">
        <v>-14</v>
      </c>
      <c r="H10" s="17">
        <v>-0.7</v>
      </c>
      <c r="I10" s="17">
        <v>7.0000000000000007E-2</v>
      </c>
      <c r="J10" s="17">
        <v>25</v>
      </c>
      <c r="K10" s="17">
        <v>-5</v>
      </c>
      <c r="L10" s="17">
        <v>100</v>
      </c>
      <c r="M10" s="17">
        <v>50</v>
      </c>
      <c r="N10" s="17">
        <v>100</v>
      </c>
      <c r="O10" s="17">
        <v>100</v>
      </c>
      <c r="P10" s="17">
        <v>19.98</v>
      </c>
      <c r="Q10" s="17">
        <v>1.9</v>
      </c>
      <c r="R10" s="17">
        <v>31.47</v>
      </c>
      <c r="S10" s="17" t="s">
        <v>120</v>
      </c>
    </row>
    <row r="11" spans="1:19" x14ac:dyDescent="0.25">
      <c r="A11" s="17" t="s">
        <v>131</v>
      </c>
      <c r="B11" s="17">
        <v>50</v>
      </c>
      <c r="C11" s="17">
        <v>-0.02</v>
      </c>
      <c r="D11" s="17">
        <v>40</v>
      </c>
      <c r="E11" s="17">
        <v>40</v>
      </c>
      <c r="F11" s="17">
        <v>50</v>
      </c>
      <c r="G11" s="17">
        <v>0</v>
      </c>
      <c r="H11" s="17">
        <v>5</v>
      </c>
      <c r="I11" s="17">
        <v>-7.0000000000000007E-2</v>
      </c>
      <c r="J11" s="17">
        <v>5</v>
      </c>
      <c r="K11" s="17">
        <v>1</v>
      </c>
      <c r="L11" s="17">
        <v>50</v>
      </c>
      <c r="M11" s="17">
        <v>100</v>
      </c>
      <c r="N11" s="17">
        <v>50</v>
      </c>
      <c r="O11" s="17">
        <v>50</v>
      </c>
      <c r="P11" s="17">
        <v>33.479999999999997</v>
      </c>
      <c r="Q11" s="17">
        <v>2.2999999999999998</v>
      </c>
      <c r="R11" s="17">
        <v>29.78</v>
      </c>
      <c r="S11" s="17" t="s">
        <v>118</v>
      </c>
    </row>
  </sheetData>
  <autoFilter ref="B1:S11" xr:uid="{0D6336E9-F6E5-4819-8A08-191BBD9B57C3}"/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7FF5-4C08-4043-8BB8-CFFF77E2FF7D}">
  <dimension ref="A1:AA55"/>
  <sheetViews>
    <sheetView tabSelected="1" topLeftCell="I1" zoomScale="90" zoomScaleNormal="90" workbookViewId="0">
      <selection sqref="A1:R7"/>
    </sheetView>
  </sheetViews>
  <sheetFormatPr defaultRowHeight="15" x14ac:dyDescent="0.25"/>
  <cols>
    <col min="1" max="1" width="19" bestFit="1" customWidth="1"/>
    <col min="2" max="2" width="18.42578125" bestFit="1" customWidth="1"/>
    <col min="3" max="3" width="26" bestFit="1" customWidth="1"/>
    <col min="4" max="4" width="24.5703125" bestFit="1" customWidth="1"/>
    <col min="5" max="5" width="23.28515625" bestFit="1" customWidth="1"/>
    <col min="6" max="6" width="15.85546875" bestFit="1" customWidth="1"/>
    <col min="7" max="7" width="16.42578125" bestFit="1" customWidth="1"/>
    <col min="8" max="8" width="23" bestFit="1" customWidth="1"/>
    <col min="9" max="9" width="13.7109375" bestFit="1" customWidth="1"/>
    <col min="10" max="10" width="17.28515625" bestFit="1" customWidth="1"/>
    <col min="11" max="11" width="15.7109375" bestFit="1" customWidth="1"/>
    <col min="12" max="12" width="25.140625" bestFit="1" customWidth="1"/>
    <col min="13" max="13" width="29.28515625" bestFit="1" customWidth="1"/>
    <col min="14" max="14" width="24.28515625" bestFit="1" customWidth="1"/>
    <col min="15" max="15" width="21.7109375" bestFit="1" customWidth="1"/>
    <col min="16" max="16" width="57.28515625" bestFit="1" customWidth="1"/>
    <col min="17" max="17" width="15.42578125" bestFit="1" customWidth="1"/>
    <col min="18" max="18" width="30.85546875" bestFit="1" customWidth="1"/>
    <col min="19" max="19" width="18.85546875" customWidth="1"/>
  </cols>
  <sheetData>
    <row r="1" spans="1:19" x14ac:dyDescent="0.25">
      <c r="A1" s="22" t="s">
        <v>132</v>
      </c>
      <c r="B1" s="22" t="s">
        <v>55</v>
      </c>
      <c r="C1" s="22" t="s">
        <v>56</v>
      </c>
      <c r="D1" s="22" t="s">
        <v>57</v>
      </c>
      <c r="E1" s="22" t="s">
        <v>60</v>
      </c>
      <c r="F1" s="22" t="s">
        <v>112</v>
      </c>
      <c r="G1" s="22" t="s">
        <v>113</v>
      </c>
      <c r="H1" s="22" t="s">
        <v>114</v>
      </c>
      <c r="I1" s="22" t="s">
        <v>64</v>
      </c>
      <c r="J1" s="22" t="s">
        <v>66</v>
      </c>
      <c r="K1" s="22" t="s">
        <v>67</v>
      </c>
      <c r="L1" s="22" t="s">
        <v>68</v>
      </c>
      <c r="M1" s="22" t="s">
        <v>99</v>
      </c>
      <c r="N1" s="22" t="s">
        <v>100</v>
      </c>
      <c r="O1" s="22" t="s">
        <v>101</v>
      </c>
      <c r="P1" s="22" t="s">
        <v>146</v>
      </c>
      <c r="Q1" s="22" t="s">
        <v>147</v>
      </c>
      <c r="R1" s="34" t="s">
        <v>149</v>
      </c>
      <c r="S1" s="34" t="s">
        <v>119</v>
      </c>
    </row>
    <row r="2" spans="1:19" x14ac:dyDescent="0.25">
      <c r="A2" s="17" t="s">
        <v>127</v>
      </c>
      <c r="B2" s="17">
        <v>150</v>
      </c>
      <c r="C2" s="17">
        <v>-0.04</v>
      </c>
      <c r="D2" s="17">
        <v>40</v>
      </c>
      <c r="E2" s="17">
        <v>40</v>
      </c>
      <c r="F2" s="17">
        <v>50</v>
      </c>
      <c r="G2" s="17">
        <v>0</v>
      </c>
      <c r="H2" s="17">
        <v>0</v>
      </c>
      <c r="I2" s="17">
        <v>7.0000000000000007E-2</v>
      </c>
      <c r="J2" s="17">
        <v>0</v>
      </c>
      <c r="K2" s="17">
        <v>-10</v>
      </c>
      <c r="L2" s="17">
        <v>100</v>
      </c>
      <c r="M2" s="17">
        <v>75</v>
      </c>
      <c r="N2" s="17">
        <v>0</v>
      </c>
      <c r="O2" s="17">
        <v>50</v>
      </c>
      <c r="P2" s="17">
        <v>20.85</v>
      </c>
      <c r="Q2" s="17">
        <v>32.9</v>
      </c>
      <c r="R2" s="17" t="s">
        <v>150</v>
      </c>
      <c r="S2" s="35" t="s">
        <v>121</v>
      </c>
    </row>
    <row r="3" spans="1:19" x14ac:dyDescent="0.25">
      <c r="A3" s="17" t="s">
        <v>130</v>
      </c>
      <c r="B3" s="17">
        <v>100</v>
      </c>
      <c r="C3" s="17">
        <v>-0.03</v>
      </c>
      <c r="D3" s="17">
        <v>25</v>
      </c>
      <c r="E3" s="17">
        <v>50</v>
      </c>
      <c r="F3" s="17">
        <v>100</v>
      </c>
      <c r="G3" s="17">
        <v>-14</v>
      </c>
      <c r="H3" s="17">
        <v>-0.7</v>
      </c>
      <c r="I3" s="17">
        <v>7.0000000000000007E-2</v>
      </c>
      <c r="J3" s="17">
        <v>25</v>
      </c>
      <c r="K3" s="17">
        <v>-5</v>
      </c>
      <c r="L3" s="17">
        <v>100</v>
      </c>
      <c r="M3" s="17">
        <v>50</v>
      </c>
      <c r="N3" s="17">
        <v>100</v>
      </c>
      <c r="O3" s="17">
        <v>100</v>
      </c>
      <c r="P3" s="17">
        <v>21.28</v>
      </c>
      <c r="Q3" s="17">
        <v>31.85</v>
      </c>
      <c r="R3" s="17" t="s">
        <v>150</v>
      </c>
      <c r="S3" s="35" t="s">
        <v>148</v>
      </c>
    </row>
    <row r="4" spans="1:19" x14ac:dyDescent="0.25">
      <c r="A4" s="17" t="s">
        <v>128</v>
      </c>
      <c r="B4" s="17">
        <v>100</v>
      </c>
      <c r="C4" s="17">
        <v>-0.02</v>
      </c>
      <c r="D4" s="17">
        <v>0</v>
      </c>
      <c r="E4" s="17">
        <v>25</v>
      </c>
      <c r="F4" s="17">
        <v>50</v>
      </c>
      <c r="G4" s="17">
        <v>0</v>
      </c>
      <c r="H4" s="17">
        <v>0</v>
      </c>
      <c r="I4" s="17">
        <v>-7.0000000000000007E-2</v>
      </c>
      <c r="J4" s="17">
        <v>25</v>
      </c>
      <c r="K4" s="17">
        <v>-10</v>
      </c>
      <c r="L4" s="17">
        <v>100</v>
      </c>
      <c r="M4" s="17">
        <v>75</v>
      </c>
      <c r="N4" s="17">
        <v>0</v>
      </c>
      <c r="O4" s="17">
        <v>100</v>
      </c>
      <c r="P4" s="17">
        <v>22.76</v>
      </c>
      <c r="Q4" s="17">
        <v>31.7</v>
      </c>
      <c r="R4" s="17" t="s">
        <v>151</v>
      </c>
    </row>
    <row r="5" spans="1:19" x14ac:dyDescent="0.25">
      <c r="A5" s="17" t="s">
        <v>129</v>
      </c>
      <c r="B5" s="17">
        <v>100</v>
      </c>
      <c r="C5" s="17">
        <v>-0.04</v>
      </c>
      <c r="D5" s="17">
        <v>40</v>
      </c>
      <c r="E5" s="17">
        <v>25</v>
      </c>
      <c r="F5" s="17">
        <v>50</v>
      </c>
      <c r="G5" s="17">
        <v>85</v>
      </c>
      <c r="H5" s="17">
        <v>-0.7</v>
      </c>
      <c r="I5" s="17">
        <v>7.0000000000000007E-2</v>
      </c>
      <c r="J5" s="17">
        <v>0</v>
      </c>
      <c r="K5" s="17">
        <v>-10</v>
      </c>
      <c r="L5" s="17">
        <v>50</v>
      </c>
      <c r="M5" s="17">
        <v>75</v>
      </c>
      <c r="N5" s="17">
        <v>0</v>
      </c>
      <c r="O5" s="17">
        <v>100</v>
      </c>
      <c r="P5" s="17">
        <v>23.78</v>
      </c>
      <c r="Q5" s="17">
        <v>31.57</v>
      </c>
      <c r="R5" s="17" t="s">
        <v>151</v>
      </c>
    </row>
    <row r="6" spans="1:19" x14ac:dyDescent="0.25">
      <c r="A6" s="17" t="s">
        <v>131</v>
      </c>
      <c r="B6" s="17">
        <v>50</v>
      </c>
      <c r="C6" s="17">
        <v>-0.05</v>
      </c>
      <c r="D6" s="17">
        <v>50</v>
      </c>
      <c r="E6" s="17">
        <v>50</v>
      </c>
      <c r="F6" s="17">
        <v>50</v>
      </c>
      <c r="G6" s="17">
        <v>0</v>
      </c>
      <c r="H6" s="17">
        <v>5</v>
      </c>
      <c r="I6" s="17">
        <v>-7.0000000000000007E-2</v>
      </c>
      <c r="J6" s="17">
        <v>5</v>
      </c>
      <c r="K6" s="17">
        <v>1</v>
      </c>
      <c r="L6" s="17">
        <v>100</v>
      </c>
      <c r="M6" s="17">
        <v>100</v>
      </c>
      <c r="N6" s="17">
        <v>100</v>
      </c>
      <c r="O6" s="17">
        <v>100</v>
      </c>
      <c r="P6" s="17">
        <v>33.479999999999997</v>
      </c>
      <c r="Q6" s="17">
        <v>29.79</v>
      </c>
      <c r="R6" s="17" t="s">
        <v>150</v>
      </c>
    </row>
    <row r="7" spans="1:19" x14ac:dyDescent="0.25">
      <c r="A7" s="36" t="s">
        <v>152</v>
      </c>
      <c r="B7" s="36">
        <v>4</v>
      </c>
      <c r="C7" s="36">
        <v>-0.05</v>
      </c>
      <c r="D7" s="36">
        <v>50</v>
      </c>
      <c r="E7" s="36">
        <v>50</v>
      </c>
      <c r="F7" s="36">
        <v>55</v>
      </c>
      <c r="G7" s="36">
        <v>0</v>
      </c>
      <c r="H7" s="36">
        <v>5</v>
      </c>
      <c r="I7" s="36">
        <v>-7.0000000000000007E-2</v>
      </c>
      <c r="J7" s="36">
        <v>5</v>
      </c>
      <c r="K7" s="36">
        <v>-10</v>
      </c>
      <c r="L7" s="36">
        <v>100</v>
      </c>
      <c r="M7" s="36">
        <v>100</v>
      </c>
      <c r="N7" s="36">
        <v>100</v>
      </c>
      <c r="O7" s="36">
        <v>100</v>
      </c>
      <c r="P7" s="36">
        <v>25.3</v>
      </c>
      <c r="Q7" s="36">
        <v>28.67</v>
      </c>
      <c r="R7" s="36" t="s">
        <v>150</v>
      </c>
    </row>
    <row r="13" spans="1:19" x14ac:dyDescent="0.25">
      <c r="E13" s="4" t="s">
        <v>109</v>
      </c>
      <c r="F13" s="4" t="s">
        <v>110</v>
      </c>
    </row>
    <row r="14" spans="1:19" ht="15.75" thickBot="1" x14ac:dyDescent="0.3"/>
    <row r="15" spans="1:19" ht="25.5" customHeight="1" x14ac:dyDescent="0.25">
      <c r="E15" s="21" t="s">
        <v>70</v>
      </c>
      <c r="F15" s="21"/>
    </row>
    <row r="16" spans="1:19" x14ac:dyDescent="0.25">
      <c r="E16" t="s">
        <v>71</v>
      </c>
      <c r="F16">
        <v>0.9865491295025195</v>
      </c>
    </row>
    <row r="17" spans="5:20" x14ac:dyDescent="0.25">
      <c r="E17" t="s">
        <v>72</v>
      </c>
      <c r="F17">
        <v>0.97327918492217891</v>
      </c>
    </row>
    <row r="18" spans="5:20" x14ac:dyDescent="0.25">
      <c r="E18" t="s">
        <v>73</v>
      </c>
      <c r="F18">
        <v>0.88345447852140069</v>
      </c>
    </row>
    <row r="19" spans="5:20" x14ac:dyDescent="0.25">
      <c r="E19" t="s">
        <v>74</v>
      </c>
      <c r="F19">
        <v>4.4127349369366277E-2</v>
      </c>
    </row>
    <row r="20" spans="5:20" ht="15.75" thickBot="1" x14ac:dyDescent="0.3">
      <c r="E20" s="19" t="s">
        <v>75</v>
      </c>
      <c r="F20" s="19">
        <v>29</v>
      </c>
    </row>
    <row r="22" spans="5:20" ht="15.75" thickBot="1" x14ac:dyDescent="0.3">
      <c r="E22" t="s">
        <v>76</v>
      </c>
    </row>
    <row r="23" spans="5:20" x14ac:dyDescent="0.25">
      <c r="E23" s="20"/>
      <c r="F23" s="20" t="s">
        <v>81</v>
      </c>
      <c r="G23" s="20" t="s">
        <v>82</v>
      </c>
      <c r="H23" s="20" t="s">
        <v>83</v>
      </c>
      <c r="I23" s="20" t="s">
        <v>84</v>
      </c>
      <c r="J23" s="20" t="s">
        <v>85</v>
      </c>
    </row>
    <row r="24" spans="5:20" x14ac:dyDescent="0.25">
      <c r="E24" t="s">
        <v>77</v>
      </c>
      <c r="F24">
        <v>14</v>
      </c>
      <c r="G24">
        <v>1.0638849744032419</v>
      </c>
      <c r="H24">
        <v>7.5991783885945852E-2</v>
      </c>
      <c r="I24">
        <v>42.027701657690045</v>
      </c>
      <c r="J24">
        <v>5.5563373391281479E-9</v>
      </c>
    </row>
    <row r="25" spans="5:20" x14ac:dyDescent="0.25">
      <c r="E25" t="s">
        <v>78</v>
      </c>
      <c r="F25">
        <v>15</v>
      </c>
      <c r="G25">
        <v>2.9208344435491657E-2</v>
      </c>
      <c r="H25">
        <v>1.9472229623661104E-3</v>
      </c>
      <c r="S25" s="4" t="s">
        <v>109</v>
      </c>
      <c r="T25" s="4" t="s">
        <v>111</v>
      </c>
    </row>
    <row r="26" spans="5:20" ht="15.75" thickBot="1" x14ac:dyDescent="0.3">
      <c r="E26" s="19" t="s">
        <v>79</v>
      </c>
      <c r="F26" s="19">
        <v>29</v>
      </c>
      <c r="G26" s="19">
        <v>1.0930933188387335</v>
      </c>
      <c r="H26" s="19"/>
      <c r="I26" s="19"/>
      <c r="J26" s="19"/>
    </row>
    <row r="27" spans="5:20" ht="15.75" thickBot="1" x14ac:dyDescent="0.3">
      <c r="P27" s="32"/>
      <c r="Q27" s="32"/>
      <c r="R27" s="32"/>
      <c r="S27" s="21" t="s">
        <v>70</v>
      </c>
      <c r="T27" s="21"/>
    </row>
    <row r="28" spans="5:20" x14ac:dyDescent="0.25">
      <c r="E28" s="20"/>
      <c r="F28" s="20" t="s">
        <v>86</v>
      </c>
      <c r="G28" s="20" t="s">
        <v>74</v>
      </c>
      <c r="H28" s="20" t="s">
        <v>87</v>
      </c>
      <c r="I28" s="20" t="s">
        <v>88</v>
      </c>
      <c r="J28" s="20" t="s">
        <v>89</v>
      </c>
      <c r="K28" s="20" t="s">
        <v>90</v>
      </c>
      <c r="L28" s="20" t="s">
        <v>91</v>
      </c>
      <c r="M28" s="20" t="s">
        <v>92</v>
      </c>
      <c r="S28" t="s">
        <v>71</v>
      </c>
      <c r="T28">
        <v>0.97444929966978544</v>
      </c>
    </row>
    <row r="29" spans="5:20" x14ac:dyDescent="0.25">
      <c r="E29" t="s">
        <v>80</v>
      </c>
      <c r="F29">
        <v>-8.5021788292353254E-2</v>
      </c>
      <c r="G29">
        <v>2.6373828494352439E-2</v>
      </c>
      <c r="H29">
        <v>-3.2237181003341777</v>
      </c>
      <c r="I29">
        <v>5.6811054637351567E-3</v>
      </c>
      <c r="J29">
        <v>-0.1412362730513122</v>
      </c>
      <c r="K29">
        <v>-2.8807303533394321E-2</v>
      </c>
      <c r="L29">
        <v>-0.1412362730513122</v>
      </c>
      <c r="M29">
        <v>-2.8807303533394321E-2</v>
      </c>
      <c r="S29" t="s">
        <v>72</v>
      </c>
      <c r="T29">
        <v>0.94955143762693539</v>
      </c>
    </row>
    <row r="30" spans="5:20" x14ac:dyDescent="0.25">
      <c r="E30" t="s">
        <v>62</v>
      </c>
      <c r="F30">
        <v>-1.3124299176473413E-3</v>
      </c>
      <c r="G30">
        <v>1.8426460847932458E-4</v>
      </c>
      <c r="H30">
        <v>-7.1225284577347505</v>
      </c>
      <c r="I30">
        <v>3.4919074992669028E-6</v>
      </c>
      <c r="J30">
        <v>-1.7051806336533474E-3</v>
      </c>
      <c r="K30">
        <v>-9.1967920164133521E-4</v>
      </c>
      <c r="L30">
        <v>-1.7051806336533474E-3</v>
      </c>
      <c r="M30">
        <v>-9.1967920164133521E-4</v>
      </c>
      <c r="S30" t="s">
        <v>73</v>
      </c>
      <c r="T30">
        <v>0.83916268357027946</v>
      </c>
    </row>
    <row r="31" spans="5:20" x14ac:dyDescent="0.25">
      <c r="E31" t="s">
        <v>108</v>
      </c>
      <c r="F31">
        <v>-9.1499986826071595E-3</v>
      </c>
      <c r="G31">
        <v>2.760197205040628E-3</v>
      </c>
      <c r="H31">
        <v>-3.3149800550111341</v>
      </c>
      <c r="I31">
        <v>4.7119206875482472E-3</v>
      </c>
      <c r="J31">
        <v>-1.5033219760946365E-2</v>
      </c>
      <c r="K31">
        <v>-3.2667776042679545E-3</v>
      </c>
      <c r="L31">
        <v>-1.5033219760946365E-2</v>
      </c>
      <c r="M31">
        <v>-3.2667776042679545E-3</v>
      </c>
      <c r="S31" t="s">
        <v>74</v>
      </c>
      <c r="T31">
        <v>0.9492411969609722</v>
      </c>
    </row>
    <row r="32" spans="5:20" ht="15.75" thickBot="1" x14ac:dyDescent="0.3">
      <c r="E32" t="s">
        <v>63</v>
      </c>
      <c r="F32">
        <v>-4.0595509873441978E-4</v>
      </c>
      <c r="G32">
        <v>2.0060913781685223E-4</v>
      </c>
      <c r="H32">
        <v>-2.023612200083527</v>
      </c>
      <c r="I32">
        <v>6.1203946867273949E-2</v>
      </c>
      <c r="J32">
        <v>-8.3354335436928756E-4</v>
      </c>
      <c r="K32">
        <v>2.1633156900447998E-5</v>
      </c>
      <c r="L32">
        <v>-8.3354335436928756E-4</v>
      </c>
      <c r="M32">
        <v>2.1633156900447998E-5</v>
      </c>
      <c r="P32" s="32"/>
      <c r="Q32" s="32"/>
      <c r="R32" s="32"/>
      <c r="S32" s="19" t="s">
        <v>75</v>
      </c>
      <c r="T32" s="19">
        <v>29</v>
      </c>
    </row>
    <row r="33" spans="5:27" x14ac:dyDescent="0.25">
      <c r="E33" t="s">
        <v>64</v>
      </c>
      <c r="F33">
        <v>0.65082427154288713</v>
      </c>
      <c r="G33">
        <v>0.22751717721107886</v>
      </c>
      <c r="H33">
        <v>2.8605500451470767</v>
      </c>
      <c r="I33">
        <v>1.1909508749277795E-2</v>
      </c>
      <c r="J33">
        <v>0.16588288756929048</v>
      </c>
      <c r="K33">
        <v>1.1357656555164839</v>
      </c>
      <c r="L33">
        <v>0.16588288756929048</v>
      </c>
      <c r="M33">
        <v>1.1357656555164839</v>
      </c>
    </row>
    <row r="34" spans="5:27" ht="15.75" thickBot="1" x14ac:dyDescent="0.3">
      <c r="E34" t="s">
        <v>65</v>
      </c>
      <c r="F34">
        <v>-8.8142775882109996E-3</v>
      </c>
      <c r="G34">
        <v>4.3437605325404791E-3</v>
      </c>
      <c r="H34">
        <v>-2.0291812870853421</v>
      </c>
      <c r="I34">
        <v>6.0573261450878713E-2</v>
      </c>
      <c r="J34">
        <v>-1.8072784001314887E-2</v>
      </c>
      <c r="K34">
        <v>4.4422882489288801E-4</v>
      </c>
      <c r="L34">
        <v>-1.8072784001314887E-2</v>
      </c>
      <c r="M34">
        <v>4.4422882489288801E-4</v>
      </c>
      <c r="S34" t="s">
        <v>76</v>
      </c>
    </row>
    <row r="35" spans="5:27" x14ac:dyDescent="0.25">
      <c r="E35" t="s">
        <v>66</v>
      </c>
      <c r="F35">
        <v>-1.9693827546589332E-5</v>
      </c>
      <c r="G35">
        <v>5.8714014849537007E-4</v>
      </c>
      <c r="H35">
        <v>-3.3541953479177947E-2</v>
      </c>
      <c r="I35">
        <v>0.97368468027304278</v>
      </c>
      <c r="J35">
        <v>-1.2711534302369441E-3</v>
      </c>
      <c r="K35">
        <v>1.2317657751437655E-3</v>
      </c>
      <c r="L35">
        <v>-1.2711534302369441E-3</v>
      </c>
      <c r="M35">
        <v>1.2317657751437655E-3</v>
      </c>
      <c r="S35" s="20"/>
      <c r="T35" s="20" t="s">
        <v>81</v>
      </c>
      <c r="U35" s="20" t="s">
        <v>82</v>
      </c>
      <c r="V35" s="20" t="s">
        <v>83</v>
      </c>
      <c r="W35" s="20" t="s">
        <v>84</v>
      </c>
      <c r="X35" s="20" t="s">
        <v>85</v>
      </c>
    </row>
    <row r="36" spans="5:27" x14ac:dyDescent="0.25">
      <c r="E36" t="s">
        <v>55</v>
      </c>
      <c r="F36">
        <v>-1.8079046233707805E-3</v>
      </c>
      <c r="G36">
        <v>1.0999286306340446E-4</v>
      </c>
      <c r="H36">
        <v>-16.436563000716045</v>
      </c>
      <c r="I36">
        <v>5.3027341814205884E-11</v>
      </c>
      <c r="J36">
        <v>-2.0423488613620926E-3</v>
      </c>
      <c r="K36">
        <v>-1.5734603853794686E-3</v>
      </c>
      <c r="L36">
        <v>-2.0423488613620926E-3</v>
      </c>
      <c r="M36">
        <v>-1.5734603853794686E-3</v>
      </c>
      <c r="S36" t="s">
        <v>77</v>
      </c>
      <c r="T36">
        <v>14</v>
      </c>
      <c r="U36">
        <v>254.39824828436426</v>
      </c>
      <c r="V36">
        <v>18.171303448883162</v>
      </c>
      <c r="W36">
        <v>21.717888927790472</v>
      </c>
      <c r="X36">
        <v>4.3427172523661028E-7</v>
      </c>
    </row>
    <row r="37" spans="5:27" x14ac:dyDescent="0.25">
      <c r="E37" t="s">
        <v>57</v>
      </c>
      <c r="F37">
        <v>-4.2289834556885619E-4</v>
      </c>
      <c r="G37">
        <v>3.9812148820652418E-4</v>
      </c>
      <c r="H37">
        <v>-1.0622344136056256</v>
      </c>
      <c r="I37">
        <v>0.30493277782705985</v>
      </c>
      <c r="J37">
        <v>-1.2714742106842332E-3</v>
      </c>
      <c r="K37">
        <v>4.2567751954652078E-4</v>
      </c>
      <c r="L37">
        <v>-1.2714742106842332E-3</v>
      </c>
      <c r="M37">
        <v>4.2567751954652078E-4</v>
      </c>
      <c r="S37" t="s">
        <v>78</v>
      </c>
      <c r="T37">
        <v>15</v>
      </c>
      <c r="U37">
        <v>13.515882750118489</v>
      </c>
      <c r="V37">
        <v>0.90105885000789931</v>
      </c>
    </row>
    <row r="38" spans="5:27" ht="15.75" thickBot="1" x14ac:dyDescent="0.3">
      <c r="E38" t="s">
        <v>60</v>
      </c>
      <c r="F38">
        <v>-6.3775589890703696E-4</v>
      </c>
      <c r="G38">
        <v>4.2376845460276584E-4</v>
      </c>
      <c r="H38">
        <v>-1.5049631278120021</v>
      </c>
      <c r="I38">
        <v>0.15309789861239759</v>
      </c>
      <c r="J38">
        <v>-1.54099697889267E-3</v>
      </c>
      <c r="K38">
        <v>2.6548518107859611E-4</v>
      </c>
      <c r="L38">
        <v>-1.54099697889267E-3</v>
      </c>
      <c r="M38">
        <v>2.6548518107859611E-4</v>
      </c>
      <c r="S38" s="19" t="s">
        <v>79</v>
      </c>
      <c r="T38" s="19">
        <v>29</v>
      </c>
      <c r="U38" s="19">
        <v>267.91413103448275</v>
      </c>
      <c r="V38" s="19"/>
      <c r="W38" s="19"/>
      <c r="X38" s="19"/>
    </row>
    <row r="39" spans="5:27" ht="15.75" thickBot="1" x14ac:dyDescent="0.3">
      <c r="E39" t="s">
        <v>67</v>
      </c>
      <c r="F39">
        <v>6.623559350695799E-3</v>
      </c>
      <c r="G39">
        <v>2.0369129700762794E-3</v>
      </c>
      <c r="H39">
        <v>3.2517635500390361</v>
      </c>
      <c r="I39">
        <v>5.3638879790843322E-3</v>
      </c>
      <c r="J39">
        <v>2.2819821262819034E-3</v>
      </c>
      <c r="K39">
        <v>1.0965136575109695E-2</v>
      </c>
      <c r="L39">
        <v>2.2819821262819034E-3</v>
      </c>
      <c r="M39">
        <v>1.0965136575109695E-2</v>
      </c>
    </row>
    <row r="40" spans="5:27" x14ac:dyDescent="0.25">
      <c r="E40" t="s">
        <v>68</v>
      </c>
      <c r="F40">
        <v>-8.2832794274418427E-4</v>
      </c>
      <c r="G40">
        <v>2.3440969627491127E-4</v>
      </c>
      <c r="H40">
        <v>-3.5336761060120008</v>
      </c>
      <c r="I40">
        <v>3.0083116666416495E-3</v>
      </c>
      <c r="J40">
        <v>-1.3279603833441485E-3</v>
      </c>
      <c r="K40">
        <v>-3.2869550214421992E-4</v>
      </c>
      <c r="L40">
        <v>-1.3279603833441485E-3</v>
      </c>
      <c r="M40">
        <v>-3.2869550214421992E-4</v>
      </c>
      <c r="S40" s="20"/>
      <c r="T40" s="20" t="s">
        <v>86</v>
      </c>
      <c r="U40" s="20" t="s">
        <v>74</v>
      </c>
      <c r="V40" s="20" t="s">
        <v>87</v>
      </c>
      <c r="W40" s="20" t="s">
        <v>88</v>
      </c>
      <c r="X40" s="20" t="s">
        <v>89</v>
      </c>
      <c r="Y40" s="20" t="s">
        <v>90</v>
      </c>
      <c r="Z40" s="20" t="s">
        <v>91</v>
      </c>
      <c r="AA40" s="20" t="s">
        <v>92</v>
      </c>
    </row>
    <row r="41" spans="5:27" x14ac:dyDescent="0.25">
      <c r="E41" t="s">
        <v>99</v>
      </c>
      <c r="F41">
        <v>-5.4057110208181403E-4</v>
      </c>
      <c r="G41">
        <v>2.7135867758529389E-4</v>
      </c>
      <c r="H41">
        <v>-1.9920907151086069</v>
      </c>
      <c r="I41">
        <v>6.4887849950146126E-2</v>
      </c>
      <c r="J41">
        <v>-1.1189584321046899E-3</v>
      </c>
      <c r="K41">
        <v>3.7816227941061945E-5</v>
      </c>
      <c r="L41">
        <v>-1.1189584321046899E-3</v>
      </c>
      <c r="M41">
        <v>3.7816227941061945E-5</v>
      </c>
      <c r="S41" t="s">
        <v>80</v>
      </c>
      <c r="T41">
        <v>23.911675281449067</v>
      </c>
      <c r="U41">
        <v>0.56733805420459216</v>
      </c>
      <c r="V41">
        <v>42.147138032144227</v>
      </c>
      <c r="W41">
        <v>5.3708896687221125E-17</v>
      </c>
      <c r="X41">
        <v>22.702422843635922</v>
      </c>
      <c r="Y41">
        <v>25.120927719262212</v>
      </c>
      <c r="Z41">
        <v>22.702422843635922</v>
      </c>
      <c r="AA41">
        <v>25.120927719262212</v>
      </c>
    </row>
    <row r="42" spans="5:27" x14ac:dyDescent="0.25">
      <c r="E42" t="s">
        <v>100</v>
      </c>
      <c r="F42">
        <v>3.9581599282993143E-4</v>
      </c>
      <c r="G42">
        <v>3.1925391539748554E-4</v>
      </c>
      <c r="H42">
        <v>1.2398156255566126</v>
      </c>
      <c r="I42">
        <v>0.23409000804500507</v>
      </c>
      <c r="J42">
        <v>-2.8465762006221773E-4</v>
      </c>
      <c r="K42">
        <v>1.0762896057220806E-3</v>
      </c>
      <c r="L42">
        <v>-2.8465762006221773E-4</v>
      </c>
      <c r="M42">
        <v>1.0762896057220806E-3</v>
      </c>
      <c r="S42" t="s">
        <v>62</v>
      </c>
      <c r="T42">
        <v>1.9276256200148351E-2</v>
      </c>
      <c r="U42">
        <v>3.9637902572930116E-3</v>
      </c>
      <c r="V42">
        <v>4.863086830763006</v>
      </c>
      <c r="W42">
        <v>2.0671563185290667E-4</v>
      </c>
      <c r="X42">
        <v>1.0827637257546902E-2</v>
      </c>
      <c r="Y42">
        <v>2.7724875142749801E-2</v>
      </c>
      <c r="Z42">
        <v>1.0827637257546902E-2</v>
      </c>
      <c r="AA42">
        <v>2.7724875142749801E-2</v>
      </c>
    </row>
    <row r="43" spans="5:27" ht="15.75" thickBot="1" x14ac:dyDescent="0.3">
      <c r="E43" s="19" t="s">
        <v>101</v>
      </c>
      <c r="F43" s="19">
        <v>0</v>
      </c>
      <c r="G43" s="19">
        <v>0</v>
      </c>
      <c r="H43" s="19">
        <v>65535</v>
      </c>
      <c r="I43" s="19" t="e">
        <v>#NUM!</v>
      </c>
      <c r="J43" s="19">
        <v>0</v>
      </c>
      <c r="K43" s="19">
        <v>0</v>
      </c>
      <c r="L43" s="19">
        <v>0</v>
      </c>
      <c r="M43" s="19">
        <v>0</v>
      </c>
      <c r="S43" t="s">
        <v>56</v>
      </c>
      <c r="T43">
        <v>3.0701013404465187</v>
      </c>
      <c r="U43">
        <v>5.9375714521842422</v>
      </c>
      <c r="V43">
        <v>0.51706347707481093</v>
      </c>
      <c r="W43">
        <v>0.61265173943376861</v>
      </c>
      <c r="X43">
        <v>-9.5855326330402733</v>
      </c>
      <c r="Y43">
        <v>15.72573531393331</v>
      </c>
      <c r="Z43">
        <v>-9.5855326330402733</v>
      </c>
      <c r="AA43">
        <v>15.72573531393331</v>
      </c>
    </row>
    <row r="44" spans="5:27" x14ac:dyDescent="0.25">
      <c r="S44" t="s">
        <v>63</v>
      </c>
      <c r="T44">
        <v>-3.5190661366804668E-3</v>
      </c>
      <c r="U44">
        <v>4.3153840152196799E-3</v>
      </c>
      <c r="V44">
        <v>-0.81546998465704901</v>
      </c>
      <c r="W44">
        <v>0.42756277595506975</v>
      </c>
      <c r="X44">
        <v>-1.2717089434836367E-2</v>
      </c>
      <c r="Y44">
        <v>5.6789571614754338E-3</v>
      </c>
      <c r="Z44">
        <v>-1.2717089434836367E-2</v>
      </c>
      <c r="AA44">
        <v>5.6789571614754338E-3</v>
      </c>
    </row>
    <row r="45" spans="5:27" x14ac:dyDescent="0.25">
      <c r="S45" t="s">
        <v>64</v>
      </c>
      <c r="T45">
        <v>2.6827861949215586</v>
      </c>
      <c r="U45">
        <v>4.8942136953948596</v>
      </c>
      <c r="V45">
        <v>0.54815469080271007</v>
      </c>
      <c r="W45">
        <v>0.59165069284527938</v>
      </c>
      <c r="X45">
        <v>-7.7489833620002386</v>
      </c>
      <c r="Y45">
        <v>13.114555751843355</v>
      </c>
      <c r="Z45">
        <v>-7.7489833620002386</v>
      </c>
      <c r="AA45">
        <v>13.114555751843355</v>
      </c>
    </row>
    <row r="46" spans="5:27" x14ac:dyDescent="0.25">
      <c r="S46" t="s">
        <v>65</v>
      </c>
      <c r="T46">
        <v>0.58685418717749016</v>
      </c>
      <c r="U46">
        <v>9.3440383484329148E-2</v>
      </c>
      <c r="V46">
        <v>6.2805198918721397</v>
      </c>
      <c r="W46">
        <v>1.4735705101051897E-5</v>
      </c>
      <c r="X46">
        <v>0.38769072426288576</v>
      </c>
      <c r="Y46">
        <v>0.78601765009209457</v>
      </c>
      <c r="Z46">
        <v>0.38769072426288576</v>
      </c>
      <c r="AA46">
        <v>0.78601765009209457</v>
      </c>
    </row>
    <row r="47" spans="5:27" x14ac:dyDescent="0.25">
      <c r="S47" t="s">
        <v>66</v>
      </c>
      <c r="T47">
        <v>-3.2894612718073796E-3</v>
      </c>
      <c r="U47">
        <v>1.2630208369789332E-2</v>
      </c>
      <c r="V47">
        <v>-0.26044394324289732</v>
      </c>
      <c r="W47">
        <v>0.7980627126942903</v>
      </c>
      <c r="X47">
        <v>-3.0210113161920106E-2</v>
      </c>
      <c r="Y47">
        <v>2.3631190618305348E-2</v>
      </c>
      <c r="Z47">
        <v>-3.0210113161920106E-2</v>
      </c>
      <c r="AA47">
        <v>2.3631190618305348E-2</v>
      </c>
    </row>
    <row r="48" spans="5:27" x14ac:dyDescent="0.25">
      <c r="S48" t="s">
        <v>55</v>
      </c>
      <c r="T48">
        <v>2.7088916607947575E-2</v>
      </c>
      <c r="U48">
        <v>2.3661008078575607E-3</v>
      </c>
      <c r="V48">
        <v>11.448758445958118</v>
      </c>
      <c r="W48">
        <v>8.1977376604801682E-9</v>
      </c>
      <c r="X48">
        <v>2.2045692116290962E-2</v>
      </c>
      <c r="Y48">
        <v>3.2132141099604189E-2</v>
      </c>
      <c r="Z48">
        <v>2.2045692116290962E-2</v>
      </c>
      <c r="AA48">
        <v>3.2132141099604189E-2</v>
      </c>
    </row>
    <row r="49" spans="19:27" x14ac:dyDescent="0.25">
      <c r="S49" t="s">
        <v>57</v>
      </c>
      <c r="T49">
        <v>-5.9646817700598192E-3</v>
      </c>
      <c r="U49">
        <v>8.5641517879928783E-3</v>
      </c>
      <c r="V49">
        <v>-0.69647081435693714</v>
      </c>
      <c r="W49">
        <v>0.49678572552676281</v>
      </c>
      <c r="X49">
        <v>-2.4218739206682167E-2</v>
      </c>
      <c r="Y49">
        <v>1.2289375666562527E-2</v>
      </c>
      <c r="Z49">
        <v>-2.4218739206682167E-2</v>
      </c>
      <c r="AA49">
        <v>1.2289375666562527E-2</v>
      </c>
    </row>
    <row r="50" spans="19:27" x14ac:dyDescent="0.25">
      <c r="S50" t="s">
        <v>60</v>
      </c>
      <c r="T50">
        <v>6.7591347412319447E-3</v>
      </c>
      <c r="U50">
        <v>9.1158540186572698E-3</v>
      </c>
      <c r="V50">
        <v>0.74147027008090893</v>
      </c>
      <c r="W50">
        <v>0.46985887900567536</v>
      </c>
      <c r="X50">
        <v>-1.2670848164224334E-2</v>
      </c>
      <c r="Y50">
        <v>2.6189117646688222E-2</v>
      </c>
      <c r="Z50">
        <v>-1.2670848164224334E-2</v>
      </c>
      <c r="AA50">
        <v>2.6189117646688222E-2</v>
      </c>
    </row>
    <row r="51" spans="19:27" x14ac:dyDescent="0.25">
      <c r="S51" t="s">
        <v>67</v>
      </c>
      <c r="T51">
        <v>-0.14776277216980019</v>
      </c>
      <c r="U51">
        <v>4.3816855837772353E-2</v>
      </c>
      <c r="V51">
        <v>-3.3722814963464627</v>
      </c>
      <c r="W51">
        <v>4.189396867233736E-3</v>
      </c>
      <c r="X51">
        <v>-0.24115618963307822</v>
      </c>
      <c r="Y51">
        <v>-5.4369354706522169E-2</v>
      </c>
      <c r="Z51">
        <v>-0.24115618963307822</v>
      </c>
      <c r="AA51">
        <v>-5.4369354706522169E-2</v>
      </c>
    </row>
    <row r="52" spans="19:27" x14ac:dyDescent="0.25">
      <c r="S52" t="s">
        <v>68</v>
      </c>
      <c r="T52">
        <v>3.9305256606762488E-3</v>
      </c>
      <c r="U52">
        <v>5.0424814508737452E-3</v>
      </c>
      <c r="V52">
        <v>0.77948242328093831</v>
      </c>
      <c r="W52">
        <v>0.44782023504800617</v>
      </c>
      <c r="X52">
        <v>-6.817269136282186E-3</v>
      </c>
      <c r="Y52">
        <v>1.4678320457634684E-2</v>
      </c>
      <c r="Z52">
        <v>-6.817269136282186E-3</v>
      </c>
      <c r="AA52">
        <v>1.4678320457634684E-2</v>
      </c>
    </row>
    <row r="53" spans="19:27" x14ac:dyDescent="0.25">
      <c r="S53" t="s">
        <v>99</v>
      </c>
      <c r="T53">
        <v>6.8447144468758575E-3</v>
      </c>
      <c r="U53">
        <v>5.8373058794152126E-3</v>
      </c>
      <c r="V53">
        <v>1.1725810824841627</v>
      </c>
      <c r="W53">
        <v>0.25925006829241604</v>
      </c>
      <c r="X53">
        <v>-5.5972085170970954E-3</v>
      </c>
      <c r="Y53">
        <v>1.9286637410848809E-2</v>
      </c>
      <c r="Z53">
        <v>-5.5972085170970954E-3</v>
      </c>
      <c r="AA53">
        <v>1.9286637410848809E-2</v>
      </c>
    </row>
    <row r="54" spans="19:27" x14ac:dyDescent="0.25">
      <c r="S54" t="s">
        <v>100</v>
      </c>
      <c r="T54">
        <v>-6.8001855121900909E-3</v>
      </c>
      <c r="U54">
        <v>6.8675996432445213E-3</v>
      </c>
      <c r="V54">
        <v>-0.99018374183755109</v>
      </c>
      <c r="W54">
        <v>0.33778916322203822</v>
      </c>
      <c r="X54">
        <v>-2.1438127650870095E-2</v>
      </c>
      <c r="Y54">
        <v>7.8377566264899116E-3</v>
      </c>
      <c r="Z54">
        <v>-2.1438127650870095E-2</v>
      </c>
      <c r="AA54">
        <v>7.8377566264899116E-3</v>
      </c>
    </row>
    <row r="55" spans="19:27" ht="15.75" thickBot="1" x14ac:dyDescent="0.3">
      <c r="S55" s="19" t="s">
        <v>101</v>
      </c>
      <c r="T55" s="19">
        <v>0</v>
      </c>
      <c r="U55" s="19">
        <v>0</v>
      </c>
      <c r="V55" s="19">
        <v>65535</v>
      </c>
      <c r="W55" s="19" t="e">
        <v>#NUM!</v>
      </c>
      <c r="X55" s="19">
        <v>0</v>
      </c>
      <c r="Y55" s="19">
        <v>0</v>
      </c>
      <c r="Z55" s="19">
        <v>0</v>
      </c>
      <c r="AA55" s="19">
        <v>0</v>
      </c>
    </row>
  </sheetData>
  <hyperlinks>
    <hyperlink ref="S3" r:id="rId1" xr:uid="{9668419F-C60F-40D7-8290-AB9AAEF14CF6}"/>
    <hyperlink ref="S2" r:id="rId2" xr:uid="{DB18269C-47F3-4C0B-BABC-31E6E3C61D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Forcasting</vt:lpstr>
      <vt:lpstr>Sensitivity</vt:lpstr>
      <vt:lpstr>Sheet3</vt:lpstr>
      <vt:lpstr>Regression Observations</vt:lpstr>
      <vt:lpstr>Priority Table</vt:lpstr>
      <vt:lpstr>Regression Emissions</vt:lpstr>
      <vt:lpstr>Regression Prices</vt:lpstr>
      <vt:lpstr>Decision</vt:lpstr>
      <vt:lpstr>Optimized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Trivikram Vikky</dc:creator>
  <cp:lastModifiedBy>Trivikram Vikky</cp:lastModifiedBy>
  <dcterms:created xsi:type="dcterms:W3CDTF">2015-06-05T18:17:20Z</dcterms:created>
  <dcterms:modified xsi:type="dcterms:W3CDTF">2025-05-03T05:07:20Z</dcterms:modified>
</cp:coreProperties>
</file>